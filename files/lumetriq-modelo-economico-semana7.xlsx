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puestos" sheetId="1" state="visible" r:id="rId3"/>
    <sheet name="BOM" sheetId="2" state="visible" r:id="rId4"/>
    <sheet name="Costo unitario" sheetId="3" state="visible" r:id="rId5"/>
    <sheet name="IA" sheetId="4" state="visible" r:id="rId6"/>
    <sheet name="Precio" sheetId="5" state="visible" r:id="rId7"/>
    <sheet name="Equilibrio" sheetId="6" state="visible" r:id="rId8"/>
    <sheet name="Flujo" sheetId="7" state="visible" r:id="rId9"/>
    <sheet name="Desarrollo" sheetId="8" state="visible" r:id="rId10"/>
    <sheet name="D-F-S" sheetId="9" state="visible" r:id="rId11"/>
    <sheet name="Ejercicio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<sst xmlns="http://schemas.openxmlformats.org/spreadsheetml/2006/main" count="697" uniqueCount="602">
  <si>
    <t xml:space="preserve">LUMETRIQ Reflejo Fijo · Supuestos del modelo económico (MXN sin IVA)</t>
  </si>
  <si>
    <t xml:space="preserve">Azul = dato que se puede cambiar · Negro = fórmula · Verde = viene de otra hoja · Amarillo = supuesto clave por validar. Fecha de consulta: 22 de octubre de 2026.</t>
  </si>
  <si>
    <t xml:space="preserve">Parámetro</t>
  </si>
  <si>
    <t xml:space="preserve">Valor</t>
  </si>
  <si>
    <t xml:space="preserve">Unidad</t>
  </si>
  <si>
    <t xml:space="preserve">Fuente / etiqueta</t>
  </si>
  <si>
    <t xml:space="preserve">Generales</t>
  </si>
  <si>
    <t xml:space="preserve">Tipo de cambio</t>
  </si>
  <si>
    <t xml:space="preserve">MXN/USD</t>
  </si>
  <si>
    <t xml:space="preserve">Banxico, FIX del 22/10/2026 = 18.7005 [Confirmado]</t>
  </si>
  <si>
    <t xml:space="preserve">Pods por kit Studio</t>
  </si>
  <si>
    <t xml:space="preserve">pods</t>
  </si>
  <si>
    <t xml:space="preserve">Modelo de ingresos de la semana 7</t>
  </si>
  <si>
    <t xml:space="preserve">Gimnasios nuevos en el año 1</t>
  </si>
  <si>
    <t xml:space="preserve">gimnasios</t>
  </si>
  <si>
    <t xml:space="preserve">Plan conservador (SOM semana 4: 15) [Hipótesis]</t>
  </si>
  <si>
    <t xml:space="preserve">Gimnasios nuevos en el año 2</t>
  </si>
  <si>
    <t xml:space="preserve">100 pods en el año 2 (SOM semana 4: 30) [Hipótesis]</t>
  </si>
  <si>
    <t xml:space="preserve">Incluir ADXL375 en el BOM (1 = sí, 0 = versión Reacción)</t>
  </si>
  <si>
    <t xml:space="preserve">1/0</t>
  </si>
  <si>
    <t xml:space="preserve">Palanca de costo: sin ADXL375 la fuerza la siguen midiendo las celdas</t>
  </si>
  <si>
    <t xml:space="preserve">Mano de obra</t>
  </si>
  <si>
    <t xml:space="preserve">Salario promedio mensual, ingeniería en electrónica y automatización</t>
  </si>
  <si>
    <t xml:space="preserve">MXN/mes</t>
  </si>
  <si>
    <t xml:space="preserve">IMCO Compara Carreras (Luz Noticias 25/08/2026; Expansión 08/02/2026) [Confirmado]</t>
  </si>
  <si>
    <t xml:space="preserve">Horas trabajadas por semana (ingenieros)</t>
  </si>
  <si>
    <t xml:space="preserve">h/sem</t>
  </si>
  <si>
    <t xml:space="preserve">Data México, ENOE 2026-T1, ingenieros electrónicos [Confirmado]</t>
  </si>
  <si>
    <t xml:space="preserve">Factor de costo patronal</t>
  </si>
  <si>
    <t xml:space="preserve">x</t>
  </si>
  <si>
    <t xml:space="preserve">IMSS, INFONAVIT, SAR, aguinaldo, prima vacacional, impuesto sobre nómina; rango 1.30–1.40 [Estimado]</t>
  </si>
  <si>
    <t xml:space="preserve">Costo por hora de ingeniería</t>
  </si>
  <si>
    <t xml:space="preserve">MXN/h</t>
  </si>
  <si>
    <t xml:space="preserve">Fórmula: salario / horas al mes × factor</t>
  </si>
  <si>
    <t xml:space="preserve">Costo por hora de técnico (ensamble y soporte)</t>
  </si>
  <si>
    <t xml:space="preserve">≈ $10,300/mes de salario con factor 1.35; arriba del promedio de técnicos en electrónica de Data México (≈ $7k) [Estimado]</t>
  </si>
  <si>
    <t xml:space="preserve">Horas de ensamble, calibración y prueba por pod (lote de 10)</t>
  </si>
  <si>
    <t xml:space="preserve">h/pod</t>
  </si>
  <si>
    <t xml:space="preserve">RR-01 del PDS v1.0 (≤ 1.5 h)</t>
  </si>
  <si>
    <t xml:space="preserve">Horas de ensamble por pod (lote de 100)</t>
  </si>
  <si>
    <t xml:space="preserve">Con plantillas y práctica [Estimado]</t>
  </si>
  <si>
    <t xml:space="preserve">Persona a medio tiempo (escenario B)</t>
  </si>
  <si>
    <t xml:space="preserve">Ventas y soporte [Hipótesis]</t>
  </si>
  <si>
    <t xml:space="preserve">Costeo</t>
  </si>
  <si>
    <t xml:space="preserve">Empaque por kit (lote de 10)</t>
  </si>
  <si>
    <t xml:space="preserve">MXN/kit</t>
  </si>
  <si>
    <t xml:space="preserve">Caja + espuma [Estimado]</t>
  </si>
  <si>
    <t xml:space="preserve">Empaque por kit (lote de 100)</t>
  </si>
  <si>
    <t xml:space="preserve">[Estimado]</t>
  </si>
  <si>
    <t xml:space="preserve">Overhead (indirectos)</t>
  </si>
  <si>
    <t xml:space="preserve">% del costo directo</t>
  </si>
  <si>
    <t xml:space="preserve">Método de la clase (10–20 %)</t>
  </si>
  <si>
    <t xml:space="preserve">Contingencias en costo unitario</t>
  </si>
  <si>
    <t xml:space="preserve">Prompt de la semana (25 %)</t>
  </si>
  <si>
    <t xml:space="preserve">Margen cost-plus</t>
  </si>
  <si>
    <t xml:space="preserve">%</t>
  </si>
  <si>
    <t xml:space="preserve">Prompt de la semana (40 %)</t>
  </si>
  <si>
    <t xml:space="preserve">Costo financiero si se subsidia el hardware</t>
  </si>
  <si>
    <t xml:space="preserve">% anual</t>
  </si>
  <si>
    <t xml:space="preserve">Ejemplo de la clase (20 %)</t>
  </si>
  <si>
    <t xml:space="preserve">Nube e IA</t>
  </si>
  <si>
    <t xml:space="preserve">Supabase Pro</t>
  </si>
  <si>
    <t xml:space="preserve">USD/mes</t>
  </si>
  <si>
    <t xml:space="preserve">supabase.com/pricing, consultado 22/10/2026 [Confirmado]</t>
  </si>
  <si>
    <t xml:space="preserve">Tokens de entrada por llamada</t>
  </si>
  <si>
    <t xml:space="preserve">tokens</t>
  </si>
  <si>
    <t xml:space="preserve">Prompt real de 1,471 caracteres + JSON + 30 % por tokenizador nuevo [Estimado por Claude]</t>
  </si>
  <si>
    <t xml:space="preserve">Tokens de salida por llamada</t>
  </si>
  <si>
    <t xml:space="preserve">Respuesta de ≤ 120 palabras con margen [Estimado]</t>
  </si>
  <si>
    <t xml:space="preserve">Precio de entrada, Claude Haiku 5.5</t>
  </si>
  <si>
    <t xml:space="preserve">USD/millón</t>
  </si>
  <si>
    <t xml:space="preserve">claude.com/pricing, 22/10/2026, prompts ≤ 100K tokens [Confirmado]</t>
  </si>
  <si>
    <t xml:space="preserve">Precio de salida, Claude Haiku 5.5</t>
  </si>
  <si>
    <t xml:space="preserve">claude.com/pricing, 22/10/2026 [Confirmado]</t>
  </si>
  <si>
    <t xml:space="preserve">Precio de entrada, Claude Sonnet 5.5 (comparación)</t>
  </si>
  <si>
    <t xml:space="preserve">claude.com/pricing [Confirmado]</t>
  </si>
  <si>
    <t xml:space="preserve">Precio de salida, Claude Sonnet 5.5 (comparación)</t>
  </si>
  <si>
    <t xml:space="preserve">Sesiones con resumen de IA por gimnasio al día</t>
  </si>
  <si>
    <t xml:space="preserve">sesiones/día</t>
  </si>
  <si>
    <t xml:space="preserve">Gimnasio con ≈ 40 alumnos activos al día [Hipótesis]</t>
  </si>
  <si>
    <t xml:space="preserve">Días por mes</t>
  </si>
  <si>
    <t xml:space="preserve">días</t>
  </si>
  <si>
    <t xml:space="preserve">Fórmula de la clase</t>
  </si>
  <si>
    <t xml:space="preserve">Reintentos por verificador de cifras</t>
  </si>
  <si>
    <t xml:space="preserve">Precios y cobro</t>
  </si>
  <si>
    <t xml:space="preserve">Precio del kit Studio (4 pods + placas + estuche)</t>
  </si>
  <si>
    <t xml:space="preserve">MXN</t>
  </si>
  <si>
    <t xml:space="preserve">Recomendado en el paso 2</t>
  </si>
  <si>
    <t xml:space="preserve">Suscripción Studio por sede</t>
  </si>
  <si>
    <t xml:space="preserve">Meses gratis antes de cobrar la suscripción</t>
  </si>
  <si>
    <t xml:space="preserve">mes</t>
  </si>
  <si>
    <t xml:space="preserve">Muro al final del primer mes (modelo de ingresos)</t>
  </si>
  <si>
    <t xml:space="preserve">Comisión de la pasarela (link de pago, al instante)</t>
  </si>
  <si>
    <t xml:space="preserve">% del cobro</t>
  </si>
  <si>
    <t xml:space="preserve">Mercado Pago, consultado 22/10/2026 [Confirmado]</t>
  </si>
  <si>
    <t xml:space="preserve">Cuota fija de la pasarela</t>
  </si>
  <si>
    <t xml:space="preserve">MXN/cobro</t>
  </si>
  <si>
    <t xml:space="preserve">Mercado Pago [Confirmado]</t>
  </si>
  <si>
    <t xml:space="preserve">IVA sobre la comisión</t>
  </si>
  <si>
    <t xml:space="preserve">Ley del IVA</t>
  </si>
  <si>
    <t xml:space="preserve">Envío nacional por kit</t>
  </si>
  <si>
    <t xml:space="preserve">≈ 3.5 kg con baterías de litio dentro del equipo [Estimado; Verificar con la paquetería]</t>
  </si>
  <si>
    <t xml:space="preserve">Operación</t>
  </si>
  <si>
    <t xml:space="preserve">Soporte por gimnasio</t>
  </si>
  <si>
    <t xml:space="preserve">h/mes</t>
  </si>
  <si>
    <t xml:space="preserve">Precio de una funda de pad</t>
  </si>
  <si>
    <t xml:space="preserve">Vinipiel ≈ $5–10 de material (semana 6) [Estimado]</t>
  </si>
  <si>
    <t xml:space="preserve">Fundas de repuesto por gimnasio cada 3 meses</t>
  </si>
  <si>
    <t xml:space="preserve">fundas</t>
  </si>
  <si>
    <t xml:space="preserve">Una por pod [Hipótesis]</t>
  </si>
  <si>
    <t xml:space="preserve">Marketing digital</t>
  </si>
  <si>
    <t xml:space="preserve">Contabilidad</t>
  </si>
  <si>
    <t xml:space="preserve">Aviso de privacidad y contrato SaaS (una vez)</t>
  </si>
  <si>
    <t xml:space="preserve">Apple Developer Program</t>
  </si>
  <si>
    <t xml:space="preserve">USD/año</t>
  </si>
  <si>
    <t xml:space="preserve">[Confirmado: USD 99 al año]</t>
  </si>
  <si>
    <t xml:space="preserve">Google Play (registro)</t>
  </si>
  <si>
    <t xml:space="preserve">USD una vez</t>
  </si>
  <si>
    <t xml:space="preserve">[Confirmado: USD 25 una sola vez]</t>
  </si>
  <si>
    <t xml:space="preserve">Dominio y correo</t>
  </si>
  <si>
    <t xml:space="preserve">MXN/año</t>
  </si>
  <si>
    <t xml:space="preserve">Banco de calibración y plantillas de ensamble</t>
  </si>
  <si>
    <t xml:space="preserve">Valor para el cliente y finanzas</t>
  </si>
  <si>
    <t xml:space="preserve">Alumnos retenidos al mes gracias a Lumetriq</t>
  </si>
  <si>
    <t xml:space="preserve">alumnos/mes</t>
  </si>
  <si>
    <t xml:space="preserve">[Hipótesis: validar con 3 dueños de gimnasio]</t>
  </si>
  <si>
    <t xml:space="preserve">Mensualidad de un gimnasio de boxeo en Puebla</t>
  </si>
  <si>
    <t xml:space="preserve">[Hipótesis: Verificar con 3 gimnasios]</t>
  </si>
  <si>
    <t xml:space="preserve">Meses en los que el dueño quiere recuperar lo que gasta</t>
  </si>
  <si>
    <t xml:space="preserve">meses</t>
  </si>
  <si>
    <t xml:space="preserve">[Hipótesis]</t>
  </si>
  <si>
    <t xml:space="preserve">Parte del valor mensual que se cobra si ya tiene el hardware</t>
  </si>
  <si>
    <t xml:space="preserve">Tasa de descuento</t>
  </si>
  <si>
    <t xml:space="preserve">Prompt de la semana (costo de oportunidad en México)</t>
  </si>
  <si>
    <t xml:space="preserve">BOM por pod · precios reales cotizados (MXN sin IVA)</t>
  </si>
  <si>
    <t xml:space="preserve">Las columnas USD se convierten con el tipo de cambio de Supuestos. Un precio en MXN azul es cotización local; uno negro sale de la fórmula USD × tipo de cambio.</t>
  </si>
  <si>
    <t xml:space="preserve">#</t>
  </si>
  <si>
    <t xml:space="preserve">Componente</t>
  </si>
  <si>
    <t xml:space="preserve">Especificación</t>
  </si>
  <si>
    <t xml:space="preserve">Proveedor / tiempo de entrega</t>
  </si>
  <si>
    <t xml:space="preserve">USD a 10</t>
  </si>
  <si>
    <t xml:space="preserve">MXN a 10</t>
  </si>
  <si>
    <t xml:space="preserve">USD a 100</t>
  </si>
  <si>
    <t xml:space="preserve">MXN a 100</t>
  </si>
  <si>
    <t xml:space="preserve">Parte del BOM a 10</t>
  </si>
  <si>
    <t xml:space="preserve">Fuente y etiqueta</t>
  </si>
  <si>
    <t xml:space="preserve">ESP32-WROOM-32E-N4 (módulo)</t>
  </si>
  <si>
    <t xml:space="preserve">Wi-Fi + BLE 5, 4 MB flash, módulo castelado 1.27 mm</t>
  </si>
  <si>
    <t xml:space="preserve">LCSC / JLCPCB C701341 · 5–10 días</t>
  </si>
  <si>
    <t xml:space="preserve">Sem. 5: $60 a 18.5 → USD 3.24 [Confirmado sem. 5]; a 100 [Estimado]</t>
  </si>
  <si>
    <t xml:space="preserve">ADXL375BCCZ (CI, ensamblado por JLCPCB)</t>
  </si>
  <si>
    <t xml:space="preserve">Acelerómetro ±200 g, LGA-14, SPI</t>
  </si>
  <si>
    <t xml:space="preserve">LCSC / JLCPCB C662206 · 5–10 días</t>
  </si>
  <si>
    <t xml:space="preserve">LCSC 22/10/2026: USD 22.7315 (10+), 19.2744 (100+), 64 en inventario [Confirmado]</t>
  </si>
  <si>
    <t xml:space="preserve">ADS1220IPWR</t>
  </si>
  <si>
    <t xml:space="preserve">ADC 24 bits, 2 kSPS, PGA ×128, TSSOP-16</t>
  </si>
  <si>
    <t xml:space="preserve">Unit Electronics · 1–3 días</t>
  </si>
  <si>
    <t xml:space="preserve">Unit $95.40 (outlet) [Confirmado sem. 5]; a 100 por LCSC [Estimado]</t>
  </si>
  <si>
    <t xml:space="preserve">4 celdas de carga 50 kg SEN-10245</t>
  </si>
  <si>
    <t xml:space="preserve">Medio puente, 34 × 34 × 7 mm, 1.0 mV/V</t>
  </si>
  <si>
    <t xml:space="preserve">4 × $14.97 (precio 35+) [Confirmado sem. 5]</t>
  </si>
  <si>
    <t xml:space="preserve">Pasivos, TP4056/MCP73831, AP2112K, USB-C, TVS, fusible, JST-PH, Hall</t>
  </si>
  <si>
    <t xml:space="preserve">0603 o mayor, pitch ≥ 0.8 mm</t>
  </si>
  <si>
    <t xml:space="preserve">Unit / LCSC · 1–10 días</t>
  </si>
  <si>
    <t xml:space="preserve">Arco de 18 LED WS2812B + difusor</t>
  </si>
  <si>
    <t xml:space="preserve">Tira 144 LED/m en 3 tramos de 6; difusor PETG</t>
  </si>
  <si>
    <t xml:space="preserve">Unit / Mercado Libre · 1–5 días</t>
  </si>
  <si>
    <t xml:space="preserve">Celda 18650 protegida con pestañas</t>
  </si>
  <si>
    <t xml:space="preserve">≥ 2,000 mAh, con PCM</t>
  </si>
  <si>
    <t xml:space="preserve">Steren / Mercado Libre · 1–5 días</t>
  </si>
  <si>
    <t xml:space="preserve">Conector pogo magnético (frontal y trasero)</t>
  </si>
  <si>
    <t xml:space="preserve">Rehundido a las 6 en punto</t>
  </si>
  <si>
    <t xml:space="preserve">Amazon MX / Mercado Libre · 2–7 días</t>
  </si>
  <si>
    <t xml:space="preserve">PCB de 2 capas + ensamble parcial (2 CI Extended)</t>
  </si>
  <si>
    <t xml:space="preserve">Prorrateado con envío</t>
  </si>
  <si>
    <t xml:space="preserve">JLCPCB · 7–12 días</t>
  </si>
  <si>
    <t xml:space="preserve">Sem. 5: $90 a 18.5 → USD 4.86 [Estimado]</t>
  </si>
  <si>
    <t xml:space="preserve">Plato flotante de aluminio 6061-T6</t>
  </si>
  <si>
    <t xml:space="preserve">Ø 118 × 3 mm, ≈ 89 g</t>
  </si>
  <si>
    <t xml:space="preserve">Taller de corte local · 3–7 días</t>
  </si>
  <si>
    <t xml:space="preserve">Topes M4, tornillos de hombro, insertos de latón, arandelas, fijador</t>
  </si>
  <si>
    <t xml:space="preserve">M3/M4, fijador medio</t>
  </si>
  <si>
    <t xml:space="preserve">Ferretería / Unit · 1–3 días</t>
  </si>
  <si>
    <t xml:space="preserve">Carcasa PETG/ASA (cuerpo, labio, tapa, aro tensor)</t>
  </si>
  <si>
    <t xml:space="preserve">Ø 160 × 75 mm, ≈ 320 g</t>
  </si>
  <si>
    <t xml:space="preserve">Filamento Unit / Amazon MX · 1–5 días</t>
  </si>
  <si>
    <t xml:space="preserve">Pad Ø 120: vinipiel + EVA en 2 capas + diafragma</t>
  </si>
  <si>
    <t xml:space="preserve">Cóncavo, flecha ≈ 4 mm</t>
  </si>
  <si>
    <t xml:space="preserve">Tapicería / EVA / refaccionaria · mismo día</t>
  </si>
  <si>
    <t xml:space="preserve">Burlete EPDM + botón</t>
  </si>
  <si>
    <t xml:space="preserve">Mitad frontal del canto</t>
  </si>
  <si>
    <t xml:space="preserve">Ferretería / Unit · mismo día</t>
  </si>
  <si>
    <t xml:space="preserve">Placa de pared Ø 120</t>
  </si>
  <si>
    <t xml:space="preserve">MDF o acrílico de 6 mm, corte láser</t>
  </si>
  <si>
    <t xml:space="preserve">Corte láser local · 2–5 días</t>
  </si>
  <si>
    <t xml:space="preserve">BOM por pod</t>
  </si>
  <si>
    <t xml:space="preserve">Entrega del lote completo: ≤ 12 días</t>
  </si>
  <si>
    <t xml:space="preserve">Cambio a 100 unidades</t>
  </si>
  <si>
    <t xml:space="preserve">BOM × 10 pods (compra del lote)</t>
  </si>
  <si>
    <t xml:space="preserve">Paso 1 · Costo unitario real por pod</t>
  </si>
  <si>
    <t xml:space="preserve">Concepto</t>
  </si>
  <si>
    <t xml:space="preserve">A 10 pods</t>
  </si>
  <si>
    <t xml:space="preserve">A 100 pods</t>
  </si>
  <si>
    <t xml:space="preserve">Fórmula</t>
  </si>
  <si>
    <t xml:space="preserve">BOM</t>
  </si>
  <si>
    <t xml:space="preserve">Hoja BOM</t>
  </si>
  <si>
    <t xml:space="preserve">Ensamble, calibración y prueba</t>
  </si>
  <si>
    <t xml:space="preserve">horas por pod × costo por hora de técnico</t>
  </si>
  <si>
    <t xml:space="preserve">Empaque</t>
  </si>
  <si>
    <t xml:space="preserve">empaque por kit ÷ 4</t>
  </si>
  <si>
    <t xml:space="preserve">Costo directo</t>
  </si>
  <si>
    <t xml:space="preserve">BOM + ensamble + empaque</t>
  </si>
  <si>
    <t xml:space="preserve">Overhead</t>
  </si>
  <si>
    <t xml:space="preserve">15 % del directo</t>
  </si>
  <si>
    <t xml:space="preserve">Contingencias</t>
  </si>
  <si>
    <t xml:space="preserve">25 % del directo</t>
  </si>
  <si>
    <t xml:space="preserve">Costo del hardware por pod</t>
  </si>
  <si>
    <t xml:space="preserve">directo + overhead + contingencias</t>
  </si>
  <si>
    <t xml:space="preserve">Porción de nube (12 meses)</t>
  </si>
  <si>
    <t xml:space="preserve">Supabase × tipo de cambio × 12 ÷ pods del año</t>
  </si>
  <si>
    <t xml:space="preserve">Porción de IA (12 meses)</t>
  </si>
  <si>
    <t xml:space="preserve">IA por gimnasio × 12 ÷ 4 pods</t>
  </si>
  <si>
    <t xml:space="preserve">Costo unitario total del primer año</t>
  </si>
  <si>
    <t xml:space="preserve">hardware + nube + IA</t>
  </si>
  <si>
    <t xml:space="preserve">Costo del kit de 4 (solo hardware)</t>
  </si>
  <si>
    <t xml:space="preserve">4 × costo del hardware</t>
  </si>
  <si>
    <t xml:space="preserve">ADXL375 como % del BOM</t>
  </si>
  <si>
    <t xml:space="preserve">componente de mayor costo</t>
  </si>
  <si>
    <t xml:space="preserve">ADXL375 como % del costo unitario</t>
  </si>
  <si>
    <t xml:space="preserve">IA como % del costo unitario</t>
  </si>
  <si>
    <t xml:space="preserve">Nube como % del costo unitario</t>
  </si>
  <si>
    <t xml:space="preserve">Costo mensual de la IA · fórmula de la clase con tokens medidos</t>
  </si>
  <si>
    <t xml:space="preserve">Llamadas al mes por gimnasio</t>
  </si>
  <si>
    <t xml:space="preserve">sesiones/día × 30 × (1 + reintentos)</t>
  </si>
  <si>
    <t xml:space="preserve">Costo de entrada por llamada (USD)</t>
  </si>
  <si>
    <t xml:space="preserve">tokens de entrada × precio / 1,000,000</t>
  </si>
  <si>
    <t xml:space="preserve">Costo de salida por llamada (USD)</t>
  </si>
  <si>
    <t xml:space="preserve">tokens de salida × precio / 1,000,000</t>
  </si>
  <si>
    <t xml:space="preserve">Costo por llamada (USD)</t>
  </si>
  <si>
    <t xml:space="preserve">entrada + salida</t>
  </si>
  <si>
    <t xml:space="preserve">Costo mensual por gimnasio (USD)</t>
  </si>
  <si>
    <t xml:space="preserve">costo por llamada × llamadas al mes</t>
  </si>
  <si>
    <t xml:space="preserve">Costo mensual por gimnasio (MXN)</t>
  </si>
  <si>
    <t xml:space="preserve">USD × tipo de cambio</t>
  </si>
  <si>
    <t xml:space="preserve">Costo mensual por pod (MXN)</t>
  </si>
  <si>
    <t xml:space="preserve">por gimnasio ÷ 4 pods</t>
  </si>
  <si>
    <t xml:space="preserve">Costo mensual por usuario individual con 2 sesiones al día (MXN)</t>
  </si>
  <si>
    <t xml:space="preserve">2 llamadas/día × 30 × 1.1 × costo × tipo de cambio</t>
  </si>
  <si>
    <t xml:space="preserve">IA como % de la suscripción</t>
  </si>
  <si>
    <t xml:space="preserve">costo mensual ÷ precio de la suscripción</t>
  </si>
  <si>
    <t xml:space="preserve">Mismo uso con Sonnet 5.5 (MXN/mes por gimnasio)</t>
  </si>
  <si>
    <t xml:space="preserve">mismos tokens con precios de Sonnet</t>
  </si>
  <si>
    <t xml:space="preserve">Sonnet como % de la suscripción</t>
  </si>
  <si>
    <t xml:space="preserve">Costo anual de la IA con los gimnasios del año 1 (MXN)</t>
  </si>
  <si>
    <t xml:space="preserve">por gimnasio × 12 × gimnasios (cota superior: todos activos 12 meses)</t>
  </si>
  <si>
    <t xml:space="preserve">Paso 2 · Precio de venta: piso cost-plus, techo value-based y recomendado</t>
  </si>
  <si>
    <t xml:space="preserve">A 10</t>
  </si>
  <si>
    <t xml:space="preserve">A 100</t>
  </si>
  <si>
    <t xml:space="preserve">Cost-plus del kit (piso)</t>
  </si>
  <si>
    <t xml:space="preserve">costo del kit × 1.40</t>
  </si>
  <si>
    <t xml:space="preserve">Suscripción · nube por gimnasio</t>
  </si>
  <si>
    <t xml:space="preserve">Supabase ÷ gimnasios</t>
  </si>
  <si>
    <t xml:space="preserve">Suscripción · IA por gimnasio</t>
  </si>
  <si>
    <t xml:space="preserve">hoja IA</t>
  </si>
  <si>
    <t xml:space="preserve">Suscripción · soporte</t>
  </si>
  <si>
    <t xml:space="preserve">h/mes × costo por hora de técnico</t>
  </si>
  <si>
    <t xml:space="preserve">Suscripción · fundas de repuesto</t>
  </si>
  <si>
    <t xml:space="preserve">4 fundas × $10 cada 3 meses</t>
  </si>
  <si>
    <t xml:space="preserve">Costo operativo mensual por gimnasio</t>
  </si>
  <si>
    <t xml:space="preserve">suma</t>
  </si>
  <si>
    <t xml:space="preserve">Piso de la suscripción (cost-plus, incluye comisión)</t>
  </si>
  <si>
    <t xml:space="preserve">P = 1.4 × (operativo + comisión(P)) despejado</t>
  </si>
  <si>
    <t xml:space="preserve">Variante subsidiada · recuperación mensual del kit</t>
  </si>
  <si>
    <t xml:space="preserve">kit × 1.20 ÷ 12</t>
  </si>
  <si>
    <t xml:space="preserve">Variante subsidiada · suscripción necesaria</t>
  </si>
  <si>
    <t xml:space="preserve">mismo despeje con la recuperación del kit</t>
  </si>
  <si>
    <t xml:space="preserve">Value-based · valor mensual para el gimnasio</t>
  </si>
  <si>
    <t xml:space="preserve">alumnos retenidos × mensualidad</t>
  </si>
  <si>
    <t xml:space="preserve">Value-based · gasto que el dueño justifica en el primer año</t>
  </si>
  <si>
    <t xml:space="preserve">valor mensual × 12</t>
  </si>
  <si>
    <t xml:space="preserve">Techo del kit con la suscripción recomendada</t>
  </si>
  <si>
    <t xml:space="preserve">techo anual − 11 meses de suscripción</t>
  </si>
  <si>
    <t xml:space="preserve">Techo de la suscripción si ya tiene el hardware</t>
  </si>
  <si>
    <t xml:space="preserve">60 % del valor mensual</t>
  </si>
  <si>
    <t xml:space="preserve">Precio recomendado del kit</t>
  </si>
  <si>
    <t xml:space="preserve">Supuestos</t>
  </si>
  <si>
    <t xml:space="preserve">Precio recomendado de la suscripción</t>
  </si>
  <si>
    <t xml:space="preserve">Margen bruto del kit sobre el costo del hardware</t>
  </si>
  <si>
    <t xml:space="preserve">1 − costo ÷ precio</t>
  </si>
  <si>
    <t xml:space="preserve">Precio del kit sobre el piso cost-plus</t>
  </si>
  <si>
    <t xml:space="preserve">Precio del kit bajo el techo value-based</t>
  </si>
  <si>
    <t xml:space="preserve">Comisión por cobro de la suscripción</t>
  </si>
  <si>
    <t xml:space="preserve">(3.49 % × precio + $4) × 1.16</t>
  </si>
  <si>
    <t xml:space="preserve">Margen de la suscripción después de nube, IA, soporte, fundas y comisión</t>
  </si>
  <si>
    <t xml:space="preserve">Lo que paga el gimnasio en el primer año</t>
  </si>
  <si>
    <t xml:space="preserve">kit + 11 meses</t>
  </si>
  <si>
    <t xml:space="preserve">Meses para que el gimnasio recupere lo que pagó</t>
  </si>
  <si>
    <t xml:space="preserve">primer año ÷ valor mensual</t>
  </si>
  <si>
    <t xml:space="preserve">Paquete de 6 pods de la semana 4 ($7,990) por pod</t>
  </si>
  <si>
    <t xml:space="preserve">comparar con el BOM</t>
  </si>
  <si>
    <t xml:space="preserve">Paso 3 · Margen de contribución y punto de equilibrio del año 1</t>
  </si>
  <si>
    <t xml:space="preserve">Kit · costo directo (4 pods a 10 unidades)</t>
  </si>
  <si>
    <t xml:space="preserve">4 × costo directo</t>
  </si>
  <si>
    <t xml:space="preserve">Kit · overhead en efectivo</t>
  </si>
  <si>
    <t xml:space="preserve">15 % (espacio, herramientas, servicios)</t>
  </si>
  <si>
    <t xml:space="preserve">Kit · comisión de la pasarela</t>
  </si>
  <si>
    <t xml:space="preserve">Kit · envío</t>
  </si>
  <si>
    <t xml:space="preserve">Kit · costo variable en efectivo</t>
  </si>
  <si>
    <t xml:space="preserve">Las contingencias son reserva, no salida por unidad</t>
  </si>
  <si>
    <t xml:space="preserve">Kit · margen de contribución</t>
  </si>
  <si>
    <t xml:space="preserve">precio − costo variable</t>
  </si>
  <si>
    <t xml:space="preserve">Suscripción · costo variable mensual (IA + soporte + fundas + comisión)</t>
  </si>
  <si>
    <t xml:space="preserve">la nube es costo fijo</t>
  </si>
  <si>
    <t xml:space="preserve">Suscripción · margen de contribución mensual</t>
  </si>
  <si>
    <t xml:space="preserve">Meses de suscripción pagados por gimnasio en el año 1 (promedio)</t>
  </si>
  <si>
    <t xml:space="preserve">altas de los meses 3 a 12 y primer mes gratis</t>
  </si>
  <si>
    <t xml:space="preserve">Suscripción · aporte del año 1 por gimnasio</t>
  </si>
  <si>
    <t xml:space="preserve">Servicio del mes gratis (IA, soporte y fundas sin cobro)</t>
  </si>
  <si>
    <t xml:space="preserve">costo del mes de prueba</t>
  </si>
  <si>
    <t xml:space="preserve">MARGEN DE CONTRIBUCIÓN POR GIMNASIO EN EL AÑO 1</t>
  </si>
  <si>
    <t xml:space="preserve">kit + suscripción − mes gratis</t>
  </si>
  <si>
    <t xml:space="preserve">Fijo · nube 12 meses</t>
  </si>
  <si>
    <t xml:space="preserve">Fijo · cuentas de tiendas, dominio y correo</t>
  </si>
  <si>
    <t xml:space="preserve">Fijo · herramental</t>
  </si>
  <si>
    <t xml:space="preserve">Fijo · kit demo (4 pods a costo directo)</t>
  </si>
  <si>
    <t xml:space="preserve">Fijo · marketing digital 12 meses</t>
  </si>
  <si>
    <t xml:space="preserve">Fijo · legal y contabilidad</t>
  </si>
  <si>
    <t xml:space="preserve">COSTOS FIJOS · A (operativo)</t>
  </si>
  <si>
    <t xml:space="preserve">Fijo · persona a medio tiempo</t>
  </si>
  <si>
    <t xml:space="preserve">20 h/sem × 52 × $80</t>
  </si>
  <si>
    <t xml:space="preserve">COSTOS FIJOS · B (+ medio tiempo)</t>
  </si>
  <si>
    <t xml:space="preserve">Fijo · recuperar el desarrollo (escenario promedio)</t>
  </si>
  <si>
    <t xml:space="preserve">hoja Desarrollo</t>
  </si>
  <si>
    <t xml:space="preserve">COSTOS FIJOS · C (+ desarrollo)</t>
  </si>
  <si>
    <t xml:space="preserve">Fijo · solo el efectivo del desarrollo</t>
  </si>
  <si>
    <t xml:space="preserve">materiales con indirectos y contingencia</t>
  </si>
  <si>
    <t xml:space="preserve">COSTOS FIJOS · A' (A + efectivo del desarrollo)</t>
  </si>
  <si>
    <t xml:space="preserve">Punto de equilibrio · A (gimnasios)</t>
  </si>
  <si>
    <t xml:space="preserve">fijos ÷ margen por gimnasio</t>
  </si>
  <si>
    <t xml:space="preserve">Punto de equilibrio · A' (gimnasios)</t>
  </si>
  <si>
    <t xml:space="preserve">Punto de equilibrio · B (gimnasios)</t>
  </si>
  <si>
    <t xml:space="preserve">Punto de equilibrio · C (gimnasios)</t>
  </si>
  <si>
    <t xml:space="preserve">C con el desarrollo repartido en 3 años (gimnasios por año)</t>
  </si>
  <si>
    <t xml:space="preserve">Cada $10,000 de certificación sube el equilibrio A en (gimnasios)</t>
  </si>
  <si>
    <t xml:space="preserve">homologación aún sin cotizar</t>
  </si>
  <si>
    <t xml:space="preserve">Pasos 4 y 5 · Flujo de caja mensual, VPN al 15 % y extensión a 24 meses (MXN)</t>
  </si>
  <si>
    <t xml:space="preserve">Mes 0 = lanzamiento comercial después del lote de la semana 13. Altas: gimnasios del año 1 repartidos en los meses 3–12 y los del año 2 en los meses 13–24. Los materiales de cada kit se compran el mes anterior a la venta (en el mes 24 se compran los del mes 25). El primer mes de suscripción es gratis. Escenario A: el equipo no cobra sueldo.</t>
  </si>
  <si>
    <t xml:space="preserve">Mes 0</t>
  </si>
  <si>
    <t xml:space="preserve">Mes 1</t>
  </si>
  <si>
    <t xml:space="preserve">Mes 2</t>
  </si>
  <si>
    <t xml:space="preserve">Mes 3</t>
  </si>
  <si>
    <t xml:space="preserve">Mes 4</t>
  </si>
  <si>
    <t xml:space="preserve">Mes 5</t>
  </si>
  <si>
    <t xml:space="preserve">Mes 6</t>
  </si>
  <si>
    <t xml:space="preserve">Mes 7</t>
  </si>
  <si>
    <t xml:space="preserve">Mes 8</t>
  </si>
  <si>
    <t xml:space="preserve">Mes 9</t>
  </si>
  <si>
    <t xml:space="preserve">Mes 10</t>
  </si>
  <si>
    <t xml:space="preserve">Mes 11</t>
  </si>
  <si>
    <t xml:space="preserve">Mes 12</t>
  </si>
  <si>
    <t xml:space="preserve">Mes 13</t>
  </si>
  <si>
    <t xml:space="preserve">Mes 14</t>
  </si>
  <si>
    <t xml:space="preserve">Mes 15</t>
  </si>
  <si>
    <t xml:space="preserve">Mes 16</t>
  </si>
  <si>
    <t xml:space="preserve">Mes 17</t>
  </si>
  <si>
    <t xml:space="preserve">Mes 18</t>
  </si>
  <si>
    <t xml:space="preserve">Mes 19</t>
  </si>
  <si>
    <t xml:space="preserve">Mes 20</t>
  </si>
  <si>
    <t xml:space="preserve">Mes 21</t>
  </si>
  <si>
    <t xml:space="preserve">Mes 22</t>
  </si>
  <si>
    <t xml:space="preserve">Mes 23</t>
  </si>
  <si>
    <t xml:space="preserve">Mes 24</t>
  </si>
  <si>
    <t xml:space="preserve">Mes</t>
  </si>
  <si>
    <t xml:space="preserve">Año</t>
  </si>
  <si>
    <t xml:space="preserve">Kits vendidos (gimnasios nuevos)</t>
  </si>
  <si>
    <t xml:space="preserve">Gimnasios acumulados</t>
  </si>
  <si>
    <t xml:space="preserve">Gimnasios que pagan suscripción</t>
  </si>
  <si>
    <t xml:space="preserve">Entrada: venta de kits</t>
  </si>
  <si>
    <t xml:space="preserve">Entrada: suscripciones</t>
  </si>
  <si>
    <t xml:space="preserve">Total de entradas</t>
  </si>
  <si>
    <t xml:space="preserve">Salida: materiales, ensamble y overhead (mes anterior a la venta)</t>
  </si>
  <si>
    <t xml:space="preserve">Salida: comisión de la pasarela en kits</t>
  </si>
  <si>
    <t xml:space="preserve">Salida: envío de kits</t>
  </si>
  <si>
    <t xml:space="preserve">Salida: comisión de la pasarela en suscripciones</t>
  </si>
  <si>
    <t xml:space="preserve">Salida: IA, soporte y fundas por gimnasio activo</t>
  </si>
  <si>
    <t xml:space="preserve">Salida: nube (Supabase Pro)</t>
  </si>
  <si>
    <t xml:space="preserve">Salida: marketing digital</t>
  </si>
  <si>
    <t xml:space="preserve">Salida: contabilidad</t>
  </si>
  <si>
    <t xml:space="preserve">Salida: cuentas de tiendas, dominio y correo</t>
  </si>
  <si>
    <t xml:space="preserve">Inversión inicial (desarrollo en efectivo, herramental, kit demo, legal)</t>
  </si>
  <si>
    <t xml:space="preserve">Total de salidas</t>
  </si>
  <si>
    <t xml:space="preserve">FLUJO NETO · A (sin sueldos)</t>
  </si>
  <si>
    <t xml:space="preserve">Flujo acumulado · A</t>
  </si>
  <si>
    <t xml:space="preserve">Factor de descuento (15 % anual → mensual)</t>
  </si>
  <si>
    <t xml:space="preserve">Valor presente · A</t>
  </si>
  <si>
    <t xml:space="preserve">Escenario B: persona a medio tiempo</t>
  </si>
  <si>
    <t xml:space="preserve">FLUJO NETO · B (+ medio tiempo)</t>
  </si>
  <si>
    <t xml:space="preserve">Flujo acumulado · B</t>
  </si>
  <si>
    <t xml:space="preserve">Valor presente · B</t>
  </si>
  <si>
    <t xml:space="preserve">Escenario C: mano de obra del desarrollo a $195/h (mes 0)</t>
  </si>
  <si>
    <t xml:space="preserve">FLUJO NETO · C (B + desarrollo completo)</t>
  </si>
  <si>
    <t xml:space="preserve">Flujo acumulado · C</t>
  </si>
  <si>
    <t xml:space="preserve">Valor presente · C</t>
  </si>
  <si>
    <t xml:space="preserve">Ayuda: mes con flujo mensual A positivo</t>
  </si>
  <si>
    <t xml:space="preserve">Ayuda: mes con acumulado A ≥ 0</t>
  </si>
  <si>
    <t xml:space="preserve">RESULTADOS</t>
  </si>
  <si>
    <t xml:space="preserve">Tasa mensual equivalente</t>
  </si>
  <si>
    <t xml:space="preserve">VPN a 12 meses · A</t>
  </si>
  <si>
    <t xml:space="preserve">VPN a 12 meses · B</t>
  </si>
  <si>
    <t xml:space="preserve">VPN a 12 meses · C</t>
  </si>
  <si>
    <t xml:space="preserve">VPN a 24 meses · A</t>
  </si>
  <si>
    <t xml:space="preserve">VPN a 24 meses · B</t>
  </si>
  <si>
    <t xml:space="preserve">VPN a 24 meses · C</t>
  </si>
  <si>
    <t xml:space="preserve">Inversión inicial (mes 0) · A</t>
  </si>
  <si>
    <t xml:space="preserve">Inversión acumulada máxima antes del equilibrio · A (12 meses)</t>
  </si>
  <si>
    <t xml:space="preserve">Inversión acumulada máxima · A (24 meses)</t>
  </si>
  <si>
    <t xml:space="preserve">Primer mes con flujo mensual A positivo</t>
  </si>
  <si>
    <t xml:space="preserve">Primer mes con acumulado A ≥ 0 (recuperación)</t>
  </si>
  <si>
    <t xml:space="preserve">Acumulado A al mes 12</t>
  </si>
  <si>
    <t xml:space="preserve">Acumulado A al mes 24</t>
  </si>
  <si>
    <t xml:space="preserve">Acumulado B al mes 24</t>
  </si>
  <si>
    <t xml:space="preserve">Entradas del año 1</t>
  </si>
  <si>
    <t xml:space="preserve">Ingresos por suscripción del año 1</t>
  </si>
  <si>
    <t xml:space="preserve">Meses de suscripción pagados en el año 1 (suma de gimnasios)</t>
  </si>
  <si>
    <t xml:space="preserve">TIR anual equivalente · A (12 meses)</t>
  </si>
  <si>
    <t xml:space="preserve">TIR anual equivalente · A (24 meses)</t>
  </si>
  <si>
    <t xml:space="preserve">TIR anual equivalente · B (24 meses)</t>
  </si>
  <si>
    <t xml:space="preserve">Costo de desarrollo · ciclos de aprendizaje por subsistema</t>
  </si>
  <si>
    <t xml:space="preserve">Costo por ciclo = (horas × costo por hora de ingeniería + materiales) × (1 + overhead) × (1 + contingencia). Horas, materiales y número de ciclos son [Estimado].</t>
  </si>
  <si>
    <t xml:space="preserve">Subsistema</t>
  </si>
  <si>
    <t xml:space="preserve">h/ciclo</t>
  </si>
  <si>
    <t xml:space="preserve">Materiales/ciclo</t>
  </si>
  <si>
    <t xml:space="preserve">Qué incluyen los materiales</t>
  </si>
  <si>
    <t xml:space="preserve">Contingencia</t>
  </si>
  <si>
    <t xml:space="preserve">Costo por ciclo</t>
  </si>
  <si>
    <t xml:space="preserve">Mín</t>
  </si>
  <si>
    <t xml:space="preserve">Prom</t>
  </si>
  <si>
    <t xml:space="preserve">Máx</t>
  </si>
  <si>
    <t xml:space="preserve">Total mínimo</t>
  </si>
  <si>
    <t xml:space="preserve">Total promedio</t>
  </si>
  <si>
    <t xml:space="preserve">Total máximo</t>
  </si>
  <si>
    <t xml:space="preserve">% del promedio</t>
  </si>
  <si>
    <t xml:space="preserve">S1. Estructura del pod</t>
  </si>
  <si>
    <t xml:space="preserve">2 carcasas Ø 160, 2 platos Ø 118, 2 pads Ø 120, tornillería e insertos</t>
  </si>
  <si>
    <t xml:space="preserve">S2. Montaje y fijación</t>
  </si>
  <si>
    <t xml:space="preserve">Placas Ø 120, bases y adaptador de costal impresos, taquetes</t>
  </si>
  <si>
    <t xml:space="preserve">S3. Sensado de impacto</t>
  </si>
  <si>
    <t xml:space="preserve">2 juegos de sensores (ADXL375, 4 celdas, ADS1220) + pesas y péndulo</t>
  </si>
  <si>
    <t xml:space="preserve">S4. Interfaz luminosa</t>
  </si>
  <si>
    <t xml:space="preserve">Tiras de 144 LED/m (18 LED) y difusores</t>
  </si>
  <si>
    <t xml:space="preserve">S5. Electrónica de control</t>
  </si>
  <si>
    <t xml:space="preserve">5 PCB con envío + componentes para 2 placas</t>
  </si>
  <si>
    <t xml:space="preserve">S6. Batería y energía</t>
  </si>
  <si>
    <t xml:space="preserve">2 celdas 18650 + protecciones</t>
  </si>
  <si>
    <t xml:space="preserve">S7. Cargador y apilamiento</t>
  </si>
  <si>
    <t xml:space="preserve">2 pares de pogo, imanes, Hall, cargador multipuerto, base</t>
  </si>
  <si>
    <t xml:space="preserve">S8. Firmware del pod</t>
  </si>
  <si>
    <t xml:space="preserve">DevKits ESP32 y consumibles</t>
  </si>
  <si>
    <t xml:space="preserve">S9. Comunicación</t>
  </si>
  <si>
    <t xml:space="preserve">3 DevKits ESP32</t>
  </si>
  <si>
    <t xml:space="preserve">S10. App móvil</t>
  </si>
  <si>
    <t xml:space="preserve">Incentivos para pruebas con usuarios</t>
  </si>
  <si>
    <t xml:space="preserve">S11. Backend y nube</t>
  </si>
  <si>
    <t xml:space="preserve">1 mes de Supabase Pro</t>
  </si>
  <si>
    <t xml:space="preserve">S12. Análisis e IA</t>
  </si>
  <si>
    <t xml:space="preserve">Tokens de prueba</t>
  </si>
  <si>
    <t xml:space="preserve">S13. Página web</t>
  </si>
  <si>
    <t xml:space="preserve">Fotos y hosting de prueba</t>
  </si>
  <si>
    <t xml:space="preserve">S14. Empaque, manual e instalación</t>
  </si>
  <si>
    <t xml:space="preserve">Muestras de caja e impresión del manual</t>
  </si>
  <si>
    <t xml:space="preserve">S15. Integración y validación del kit</t>
  </si>
  <si>
    <t xml:space="preserve">4 pods (50 % de piezas reutilizadas) + traslado al gimnasio</t>
  </si>
  <si>
    <t xml:space="preserve">Total</t>
  </si>
  <si>
    <t xml:space="preserve">Horas de ingeniería</t>
  </si>
  <si>
    <t xml:space="preserve">Personas-mes</t>
  </si>
  <si>
    <t xml:space="preserve">Parte en efectivo (materiales con indirectos y contingencia)</t>
  </si>
  <si>
    <t xml:space="preserve">Parte de mano de obra (costo de oportunidad)</t>
  </si>
  <si>
    <t xml:space="preserve">Software (S8–S13) como % del promedio</t>
  </si>
  <si>
    <t xml:space="preserve">Hardware (S1–S7) como % del promedio</t>
  </si>
  <si>
    <t xml:space="preserve">Método anterior (5 ciclos × 120 h) con la tarifa nueva</t>
  </si>
  <si>
    <t xml:space="preserve">Inventario de costos · plantilla de la clase con clasificación D/F/S (año 1, 10 gimnasios = 40 pods)</t>
  </si>
  <si>
    <t xml:space="preserve">Costo</t>
  </si>
  <si>
    <t xml:space="preserve">D/F/S</t>
  </si>
  <si>
    <t xml:space="preserve">Costo estimado</t>
  </si>
  <si>
    <t xml:space="preserve">Unidad de medida</t>
  </si>
  <si>
    <t xml:space="preserve">Unidades que produce</t>
  </si>
  <si>
    <t xml:space="preserve">Costo unitario por pod</t>
  </si>
  <si>
    <t xml:space="preserve">Por qué</t>
  </si>
  <si>
    <t xml:space="preserve">CREAR la oferta</t>
  </si>
  <si>
    <t xml:space="preserve">4 celdas de carga + ADS1220 + plato de aluminio</t>
  </si>
  <si>
    <t xml:space="preserve">D</t>
  </si>
  <si>
    <t xml:space="preserve">por pod</t>
  </si>
  <si>
    <t xml:space="preserve">Miden fuerza en N igual en pared, piso o costal; ningún competidor de pods lo hace</t>
  </si>
  <si>
    <t xml:space="preserve">Arco de 18 LED + difusor + pad de vinipiel</t>
  </si>
  <si>
    <t xml:space="preserve">Experiencia del golpe y señal "golpea aquí"</t>
  </si>
  <si>
    <t xml:space="preserve">ADXL375 (acelerómetro ±200 g)</t>
  </si>
  <si>
    <t xml:space="preserve">F</t>
  </si>
  <si>
    <t xml:space="preserve">La pieza más cara; con las celdas, la fuerza ya está cubierta: H3LIS331DL o solo en versión Pro</t>
  </si>
  <si>
    <t xml:space="preserve">ESP32, celda 18650, carga y pasivos</t>
  </si>
  <si>
    <t xml:space="preserve">Intercambiables por equivalentes</t>
  </si>
  <si>
    <t xml:space="preserve">Conector pogo magnético</t>
  </si>
  <si>
    <t xml:space="preserve">Se puede diferir: USB-C basta en la primera versión</t>
  </si>
  <si>
    <t xml:space="preserve">PCB + ensamble de 2 CI en JLCPCB</t>
  </si>
  <si>
    <t xml:space="preserve">S</t>
  </si>
  <si>
    <t xml:space="preserve">Precio de mercado sin negociación</t>
  </si>
  <si>
    <t xml:space="preserve">Carcasa, tornillería, burlete y placa de pared</t>
  </si>
  <si>
    <t xml:space="preserve">FDM ahora; molde solo con volumen</t>
  </si>
  <si>
    <t xml:space="preserve">Baja a ≈ 1 h con plantillas</t>
  </si>
  <si>
    <t xml:space="preserve">Nube (Supabase Pro), 12 meses</t>
  </si>
  <si>
    <t xml:space="preserve">por año</t>
  </si>
  <si>
    <t xml:space="preserve">Precio de lista; el plan gratuito pausa proyectos</t>
  </si>
  <si>
    <t xml:space="preserve">IA (Claude Haiku 5.5), 12 meses</t>
  </si>
  <si>
    <t xml:space="preserve">por gimnasio al año</t>
  </si>
  <si>
    <t xml:space="preserve">Recomendaciones en lenguaje de entrenador</t>
  </si>
  <si>
    <t xml:space="preserve">Cuentas de Apple y Google, dominio</t>
  </si>
  <si>
    <t xml:space="preserve">Tarifas fijas de las tiendas</t>
  </si>
  <si>
    <t xml:space="preserve">DISTRIBUIR la oferta</t>
  </si>
  <si>
    <t xml:space="preserve">Empaque del kit (caja + espuma)</t>
  </si>
  <si>
    <t xml:space="preserve">por kit</t>
  </si>
  <si>
    <t xml:space="preserve">Se puede simplificar</t>
  </si>
  <si>
    <t xml:space="preserve">Envío nacional</t>
  </si>
  <si>
    <t xml:space="preserve">Tarifa de paquetería</t>
  </si>
  <si>
    <t xml:space="preserve">Comisión de pasarela en el kit</t>
  </si>
  <si>
    <t xml:space="preserve">3.49 % + $4 + IVA (Mercado Pago); se cobra fuera de las tiendas de apps</t>
  </si>
  <si>
    <t xml:space="preserve">Soporte técnico, 12 meses</t>
  </si>
  <si>
    <t xml:space="preserve">Baja con buena guía de instalación</t>
  </si>
  <si>
    <t xml:space="preserve">Fundas de repuesto, 12 meses</t>
  </si>
  <si>
    <t xml:space="preserve">4 fundas cada 3 meses</t>
  </si>
  <si>
    <t xml:space="preserve">Actualizaciones de firmware OTA</t>
  </si>
  <si>
    <t xml:space="preserve">incluido en S8 y S11</t>
  </si>
  <si>
    <t xml:space="preserve">Partición OTA de ESP-IDF + almacenamiento de Supabase; sin costo extra</t>
  </si>
  <si>
    <t xml:space="preserve">Kit demo y marketing digital</t>
  </si>
  <si>
    <t xml:space="preserve">Kit al costo directo + $1,000/mes</t>
  </si>
  <si>
    <t xml:space="preserve">Aviso de privacidad, contrato SaaS, contador</t>
  </si>
  <si>
    <t xml:space="preserve">Obligatorio con la ley de datos de 2025</t>
  </si>
  <si>
    <t xml:space="preserve">Homologación de radio y NOM</t>
  </si>
  <si>
    <t xml:space="preserve">por modelo</t>
  </si>
  <si>
    <t xml:space="preserve">Sin cotizar: se agrega cuando un organismo de certificación dé precio [Verificar]</t>
  </si>
  <si>
    <t xml:space="preserve">Costo unitario total por pod (año 1)</t>
  </si>
  <si>
    <t xml:space="preserve">· de diferenciación (D)</t>
  </si>
  <si>
    <t xml:space="preserve">· flexibles (F)</t>
  </si>
  <si>
    <t xml:space="preserve">· establecidos (S)</t>
  </si>
  <si>
    <t xml:space="preserve">Sin overhead ni contingencias: es el costo en efectivo que se mueve por pod.</t>
  </si>
  <si>
    <t xml:space="preserve">Ejercicios 1 a 9 de la semana 7 · resolución con fórmulas</t>
  </si>
  <si>
    <t xml:space="preserve">Ejercicio 1 · VF de USD 45,000 al 7.5 % anual capitalizable trimestralmente, 5.5 años</t>
  </si>
  <si>
    <t xml:space="preserve">Principal (USD)</t>
  </si>
  <si>
    <t xml:space="preserve">Tasa anual</t>
  </si>
  <si>
    <t xml:space="preserve">Capitalizaciones por año</t>
  </si>
  <si>
    <t xml:space="preserve">Años</t>
  </si>
  <si>
    <t xml:space="preserve">Valor futuro (USD)</t>
  </si>
  <si>
    <t xml:space="preserve">VF = P × (1 + i/m)^(m·n), 22 trimestres</t>
  </si>
  <si>
    <t xml:space="preserve">Ejercicio 2 · VP de $125,000 MXN a pagar en 48 meses, 12 % anual compuesto mensual</t>
  </si>
  <si>
    <t xml:space="preserve">Valor futuro (MXN)</t>
  </si>
  <si>
    <t xml:space="preserve">Meses</t>
  </si>
  <si>
    <t xml:space="preserve">Valor presente (MXN)</t>
  </si>
  <si>
    <t xml:space="preserve">VP = VF / (1 + 0.01)^48</t>
  </si>
  <si>
    <t xml:space="preserve">Ejercicio 3 · Flujos irregulares al 9 %: año 1 $10,000; año 3 $15,000; año 5 $8,000</t>
  </si>
  <si>
    <t xml:space="preserve">Tasa</t>
  </si>
  <si>
    <t xml:space="preserve">VP año 1</t>
  </si>
  <si>
    <t xml:space="preserve">VP año 3</t>
  </si>
  <si>
    <t xml:space="preserve">VP año 5</t>
  </si>
  <si>
    <t xml:space="preserve">Valor presente total</t>
  </si>
  <si>
    <t xml:space="preserve">Ejercicio 4 · InnovaTech: inversión USD 250,000, USD 60,000 al año por 6 años, 11 %</t>
  </si>
  <si>
    <t xml:space="preserve">Inversión (USD)</t>
  </si>
  <si>
    <t xml:space="preserve">Flujo anual (USD)</t>
  </si>
  <si>
    <t xml:space="preserve">Factor de anualidad [1 − (1 + r)^−n] / r</t>
  </si>
  <si>
    <t xml:space="preserve">VPN (USD)</t>
  </si>
  <si>
    <t xml:space="preserve">Positivo → viable</t>
  </si>
  <si>
    <t xml:space="preserve">Comprobación con la función VNA</t>
  </si>
  <si>
    <t xml:space="preserve">TIR</t>
  </si>
  <si>
    <t xml:space="preserve">Ejercicio 5 · Inversión USD 50,000; flujos 7,500 / 12,000 / 20,000 / 25,000; tasa 4 %</t>
  </si>
  <si>
    <t xml:space="preserve">VP año 1 (7,500)</t>
  </si>
  <si>
    <t xml:space="preserve">VP año 2 (12,000)</t>
  </si>
  <si>
    <t xml:space="preserve">VP año 3 (20,000)</t>
  </si>
  <si>
    <t xml:space="preserve">VP año 4 (25,000)</t>
  </si>
  <si>
    <t xml:space="preserve">Positivo, pero por poco</t>
  </si>
  <si>
    <t xml:space="preserve">Ejercicio 6 · Maquinaria: USD 1,000,000; 300K / 350K / 375K / 300K + salvamento 150K; 10 %</t>
  </si>
  <si>
    <t xml:space="preserve">VP año 1 (300,000)</t>
  </si>
  <si>
    <t xml:space="preserve">VP año 2 (350,000)</t>
  </si>
  <si>
    <t xml:space="preserve">VP año 3 (375,000)</t>
  </si>
  <si>
    <t xml:space="preserve">VP año 4 (450,000) = 300K + 150K de salvamento</t>
  </si>
  <si>
    <t xml:space="preserve">VPN sin el valor de salvamento (USD)</t>
  </si>
  <si>
    <t xml:space="preserve">El salvamento es lo que lo hace viable</t>
  </si>
  <si>
    <t xml:space="preserve">Ejercicio 7 · Proyecto X contra Y: inversión USD 50,000 cada uno, tasa 8 %</t>
  </si>
  <si>
    <t xml:space="preserve">VPN X (25K, 25K, 25K)</t>
  </si>
  <si>
    <t xml:space="preserve">VPN Y (10K, 20K, 45K)</t>
  </si>
  <si>
    <t xml:space="preserve">TIR X</t>
  </si>
  <si>
    <t xml:space="preserve">TIR Y</t>
  </si>
  <si>
    <t xml:space="preserve">Tasa en la que X y Y empatan (TIR de la diferencia Y − X)</t>
  </si>
  <si>
    <t xml:space="preserve">La diferencia Y − X suma cero: empatan al 0 %. Con cualquier tasa positiva conviene X</t>
  </si>
  <si>
    <t xml:space="preserve">Ejercicio 8 · Sensibilidad del proyecto X a la tasa</t>
  </si>
  <si>
    <t xml:space="preserve">VPN</t>
  </si>
  <si>
    <t xml:space="preserve">Decisión</t>
  </si>
  <si>
    <t xml:space="preserve">TIR de X (tasa donde el VPN = 0)</t>
  </si>
  <si>
    <t xml:space="preserve">Ejercicio 9 · Global Solutions: USD 500,000; 180K / 200K / 190K / 170K; costo de capital 14 %</t>
  </si>
  <si>
    <t xml:space="preserve">VPN₁ a 14 %</t>
  </si>
  <si>
    <t xml:space="preserve">VPN₂ a 22 %</t>
  </si>
  <si>
    <t xml:space="preserve">TIR por interpolación lineal</t>
  </si>
  <si>
    <t xml:space="preserve">TIR exacta (función TIR)</t>
  </si>
  <si>
    <t xml:space="preserve">VPN a 17 % (interpolación más cercana)</t>
  </si>
  <si>
    <t xml:space="preserve">VPN a 18 %</t>
  </si>
  <si>
    <t xml:space="preserve">TIR interpolando entre 17 % y 18 %</t>
  </si>
</sst>
</file>

<file path=xl/styles.xml><?xml version="1.0" encoding="utf-8"?>
<styleSheet xmlns="http://schemas.openxmlformats.org/spreadsheetml/2006/main">
  <numFmts count="19">
    <numFmt numFmtId="164" formatCode="General"/>
    <numFmt numFmtId="165" formatCode="0.00"/>
    <numFmt numFmtId="166" formatCode="\$#,##0"/>
    <numFmt numFmtId="167" formatCode="0.0%"/>
    <numFmt numFmtId="168" formatCode="0.00%"/>
    <numFmt numFmtId="169" formatCode="\$#,##0.00"/>
    <numFmt numFmtId="170" formatCode="0.0000"/>
    <numFmt numFmtId="171" formatCode="\$#,##0;&quot;($&quot;#,##0\);\-"/>
    <numFmt numFmtId="172" formatCode="0.0%;\(0.0%\);\-"/>
    <numFmt numFmtId="173" formatCode="\$#,##0.00;&quot;($&quot;#,##0.00\);\-"/>
    <numFmt numFmtId="174" formatCode="#,##0;\(#,##0\);\-"/>
    <numFmt numFmtId="175" formatCode="0.000000"/>
    <numFmt numFmtId="176" formatCode="#,##0.0;\(#,##0.0\);\-"/>
    <numFmt numFmtId="177" formatCode="0&quot; gimnasios&quot;"/>
    <numFmt numFmtId="178" formatCode="0&quot; pods&quot;"/>
    <numFmt numFmtId="179" formatCode="0"/>
    <numFmt numFmtId="180" formatCode="0.000%"/>
    <numFmt numFmtId="181" formatCode="0%"/>
    <numFmt numFmtId="182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32472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D48D2"/>
      <name val="Arial"/>
      <family val="0"/>
      <charset val="1"/>
    </font>
    <font>
      <b val="true"/>
      <sz val="10"/>
      <color rgb="FFA86400"/>
      <name val="Arial"/>
      <family val="0"/>
      <charset val="1"/>
    </font>
    <font>
      <b val="true"/>
      <sz val="10"/>
      <color rgb="FF5A5A5A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32472"/>
        <bgColor rgb="FF000080"/>
      </patternFill>
    </fill>
    <fill>
      <patternFill patternType="solid">
        <fgColor rgb="FFF2F2F2"/>
        <bgColor rgb="FFE3EAF9"/>
      </patternFill>
    </fill>
    <fill>
      <patternFill patternType="solid">
        <fgColor rgb="FFFFFF00"/>
        <bgColor rgb="FFFFFF00"/>
      </patternFill>
    </fill>
    <fill>
      <patternFill patternType="solid">
        <fgColor rgb="FFE3EAF9"/>
        <bgColor rgb="FFF2F2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86400"/>
      <rgbColor rgb="FF800080"/>
      <rgbColor rgb="FF008080"/>
      <rgbColor rgb="FFC0C0C0"/>
      <rgbColor rgb="FF808080"/>
      <rgbColor rgb="FF9999FF"/>
      <rgbColor rgb="FF993366"/>
      <rgbColor rgb="FFF2F2F2"/>
      <rgbColor rgb="FFE3EAF9"/>
      <rgbColor rgb="FF660066"/>
      <rgbColor rgb="FFFF8080"/>
      <rgbColor rgb="FF0D48D2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5A5A"/>
      <rgbColor rgb="FF969696"/>
      <rgbColor rgb="FF032472"/>
      <rgbColor rgb="FF339966"/>
      <rgbColor rgb="FF003300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70"/>
  </cols>
  <sheetData>
    <row r="1" customFormat="false" ht="16.15" hidden="false" customHeight="false" outlineLevel="0" collapsed="false">
      <c r="A1" s="1" t="s">
        <v>0</v>
      </c>
      <c r="B1" s="2"/>
      <c r="C1" s="2"/>
      <c r="D1" s="2"/>
    </row>
    <row r="2" customFormat="false" ht="15" hidden="false" customHeight="false" outlineLevel="0" collapsed="false">
      <c r="A2" s="3" t="s">
        <v>1</v>
      </c>
      <c r="B2" s="2"/>
      <c r="C2" s="2"/>
      <c r="D2" s="2"/>
    </row>
    <row r="3" customFormat="false" ht="15" hidden="false" customHeight="false" outlineLevel="0" collapsed="false">
      <c r="A3" s="4" t="s">
        <v>2</v>
      </c>
      <c r="B3" s="4" t="s">
        <v>3</v>
      </c>
      <c r="C3" s="4" t="s">
        <v>4</v>
      </c>
      <c r="D3" s="4" t="s">
        <v>5</v>
      </c>
    </row>
    <row r="4" customFormat="false" ht="15" hidden="false" customHeight="false" outlineLevel="0" collapsed="false">
      <c r="A4" s="5" t="s">
        <v>6</v>
      </c>
      <c r="B4" s="6"/>
      <c r="C4" s="6"/>
      <c r="D4" s="6"/>
    </row>
    <row r="5" customFormat="false" ht="15" hidden="false" customHeight="false" outlineLevel="0" collapsed="false">
      <c r="A5" s="7" t="s">
        <v>7</v>
      </c>
      <c r="B5" s="8" t="n">
        <v>18.7</v>
      </c>
      <c r="C5" s="9" t="s">
        <v>8</v>
      </c>
      <c r="D5" s="10" t="s">
        <v>9</v>
      </c>
    </row>
    <row r="6" customFormat="false" ht="15" hidden="false" customHeight="false" outlineLevel="0" collapsed="false">
      <c r="A6" s="7" t="s">
        <v>10</v>
      </c>
      <c r="B6" s="11" t="n">
        <v>4</v>
      </c>
      <c r="C6" s="9" t="s">
        <v>11</v>
      </c>
      <c r="D6" s="10" t="s">
        <v>12</v>
      </c>
    </row>
    <row r="7" customFormat="false" ht="15" hidden="false" customHeight="false" outlineLevel="0" collapsed="false">
      <c r="A7" s="7" t="s">
        <v>13</v>
      </c>
      <c r="B7" s="12" t="n">
        <v>10</v>
      </c>
      <c r="C7" s="9" t="s">
        <v>14</v>
      </c>
      <c r="D7" s="10" t="s">
        <v>15</v>
      </c>
    </row>
    <row r="8" customFormat="false" ht="15" hidden="false" customHeight="false" outlineLevel="0" collapsed="false">
      <c r="A8" s="7" t="s">
        <v>16</v>
      </c>
      <c r="B8" s="11" t="n">
        <v>25</v>
      </c>
      <c r="C8" s="9" t="s">
        <v>14</v>
      </c>
      <c r="D8" s="10" t="s">
        <v>17</v>
      </c>
    </row>
    <row r="9" customFormat="false" ht="23.85" hidden="false" customHeight="false" outlineLevel="0" collapsed="false">
      <c r="A9" s="7" t="s">
        <v>18</v>
      </c>
      <c r="B9" s="11" t="n">
        <v>1</v>
      </c>
      <c r="C9" s="9" t="s">
        <v>19</v>
      </c>
      <c r="D9" s="10" t="s">
        <v>20</v>
      </c>
    </row>
    <row r="10" customFormat="false" ht="15" hidden="false" customHeight="false" outlineLevel="0" collapsed="false">
      <c r="A10" s="5" t="s">
        <v>21</v>
      </c>
      <c r="B10" s="6"/>
      <c r="C10" s="6"/>
      <c r="D10" s="6"/>
    </row>
    <row r="11" customFormat="false" ht="23.85" hidden="false" customHeight="false" outlineLevel="0" collapsed="false">
      <c r="A11" s="7" t="s">
        <v>22</v>
      </c>
      <c r="B11" s="13" t="n">
        <v>25203</v>
      </c>
      <c r="C11" s="9" t="s">
        <v>23</v>
      </c>
      <c r="D11" s="10" t="s">
        <v>24</v>
      </c>
    </row>
    <row r="12" customFormat="false" ht="15" hidden="false" customHeight="false" outlineLevel="0" collapsed="false">
      <c r="A12" s="7" t="s">
        <v>25</v>
      </c>
      <c r="B12" s="8" t="n">
        <v>40.3</v>
      </c>
      <c r="C12" s="9" t="s">
        <v>26</v>
      </c>
      <c r="D12" s="10" t="s">
        <v>27</v>
      </c>
    </row>
    <row r="13" customFormat="false" ht="22.35" hidden="false" customHeight="false" outlineLevel="0" collapsed="false">
      <c r="A13" s="7" t="s">
        <v>28</v>
      </c>
      <c r="B13" s="8" t="n">
        <v>1.35</v>
      </c>
      <c r="C13" s="9" t="s">
        <v>29</v>
      </c>
      <c r="D13" s="10" t="s">
        <v>30</v>
      </c>
    </row>
    <row r="14" customFormat="false" ht="15" hidden="false" customHeight="false" outlineLevel="0" collapsed="false">
      <c r="A14" s="7" t="s">
        <v>31</v>
      </c>
      <c r="B14" s="14" t="n">
        <f aca="false">ROUND(B11/(B12*52/12)*B13,0)</f>
        <v>195</v>
      </c>
      <c r="C14" s="9" t="s">
        <v>32</v>
      </c>
      <c r="D14" s="10" t="s">
        <v>33</v>
      </c>
    </row>
    <row r="15" customFormat="false" ht="22.35" hidden="false" customHeight="false" outlineLevel="0" collapsed="false">
      <c r="A15" s="7" t="s">
        <v>34</v>
      </c>
      <c r="B15" s="13" t="n">
        <v>80</v>
      </c>
      <c r="C15" s="9" t="s">
        <v>32</v>
      </c>
      <c r="D15" s="10" t="s">
        <v>35</v>
      </c>
    </row>
    <row r="16" customFormat="false" ht="23.85" hidden="false" customHeight="false" outlineLevel="0" collapsed="false">
      <c r="A16" s="7" t="s">
        <v>36</v>
      </c>
      <c r="B16" s="8" t="n">
        <v>1.5</v>
      </c>
      <c r="C16" s="9" t="s">
        <v>37</v>
      </c>
      <c r="D16" s="10" t="s">
        <v>38</v>
      </c>
    </row>
    <row r="17" customFormat="false" ht="15" hidden="false" customHeight="false" outlineLevel="0" collapsed="false">
      <c r="A17" s="7" t="s">
        <v>39</v>
      </c>
      <c r="B17" s="8" t="n">
        <v>1</v>
      </c>
      <c r="C17" s="9" t="s">
        <v>37</v>
      </c>
      <c r="D17" s="10" t="s">
        <v>40</v>
      </c>
    </row>
    <row r="18" customFormat="false" ht="15" hidden="false" customHeight="false" outlineLevel="0" collapsed="false">
      <c r="A18" s="7" t="s">
        <v>41</v>
      </c>
      <c r="B18" s="11" t="n">
        <v>20</v>
      </c>
      <c r="C18" s="9" t="s">
        <v>26</v>
      </c>
      <c r="D18" s="10" t="s">
        <v>42</v>
      </c>
    </row>
    <row r="19" customFormat="false" ht="15" hidden="false" customHeight="false" outlineLevel="0" collapsed="false">
      <c r="A19" s="5" t="s">
        <v>43</v>
      </c>
      <c r="B19" s="6"/>
      <c r="C19" s="6"/>
      <c r="D19" s="6"/>
    </row>
    <row r="20" customFormat="false" ht="15" hidden="false" customHeight="false" outlineLevel="0" collapsed="false">
      <c r="A20" s="7" t="s">
        <v>44</v>
      </c>
      <c r="B20" s="13" t="n">
        <v>160</v>
      </c>
      <c r="C20" s="9" t="s">
        <v>45</v>
      </c>
      <c r="D20" s="10" t="s">
        <v>46</v>
      </c>
    </row>
    <row r="21" customFormat="false" ht="15" hidden="false" customHeight="false" outlineLevel="0" collapsed="false">
      <c r="A21" s="7" t="s">
        <v>47</v>
      </c>
      <c r="B21" s="13" t="n">
        <v>100</v>
      </c>
      <c r="C21" s="9" t="s">
        <v>45</v>
      </c>
      <c r="D21" s="10" t="s">
        <v>48</v>
      </c>
    </row>
    <row r="22" customFormat="false" ht="15" hidden="false" customHeight="false" outlineLevel="0" collapsed="false">
      <c r="A22" s="7" t="s">
        <v>49</v>
      </c>
      <c r="B22" s="15" t="n">
        <v>0.15</v>
      </c>
      <c r="C22" s="9" t="s">
        <v>50</v>
      </c>
      <c r="D22" s="10" t="s">
        <v>51</v>
      </c>
    </row>
    <row r="23" customFormat="false" ht="15" hidden="false" customHeight="false" outlineLevel="0" collapsed="false">
      <c r="A23" s="7" t="s">
        <v>52</v>
      </c>
      <c r="B23" s="15" t="n">
        <v>0.25</v>
      </c>
      <c r="C23" s="9" t="s">
        <v>50</v>
      </c>
      <c r="D23" s="10" t="s">
        <v>53</v>
      </c>
    </row>
    <row r="24" customFormat="false" ht="15" hidden="false" customHeight="false" outlineLevel="0" collapsed="false">
      <c r="A24" s="7" t="s">
        <v>54</v>
      </c>
      <c r="B24" s="15" t="n">
        <v>0.4</v>
      </c>
      <c r="C24" s="9" t="s">
        <v>55</v>
      </c>
      <c r="D24" s="10" t="s">
        <v>56</v>
      </c>
    </row>
    <row r="25" customFormat="false" ht="15" hidden="false" customHeight="false" outlineLevel="0" collapsed="false">
      <c r="A25" s="7" t="s">
        <v>57</v>
      </c>
      <c r="B25" s="15" t="n">
        <v>0.2</v>
      </c>
      <c r="C25" s="9" t="s">
        <v>58</v>
      </c>
      <c r="D25" s="10" t="s">
        <v>59</v>
      </c>
    </row>
    <row r="26" customFormat="false" ht="15" hidden="false" customHeight="false" outlineLevel="0" collapsed="false">
      <c r="A26" s="5" t="s">
        <v>60</v>
      </c>
      <c r="B26" s="6"/>
      <c r="C26" s="6"/>
      <c r="D26" s="6"/>
    </row>
    <row r="27" customFormat="false" ht="15" hidden="false" customHeight="false" outlineLevel="0" collapsed="false">
      <c r="A27" s="7" t="s">
        <v>61</v>
      </c>
      <c r="B27" s="11" t="n">
        <v>25</v>
      </c>
      <c r="C27" s="9" t="s">
        <v>62</v>
      </c>
      <c r="D27" s="10" t="s">
        <v>63</v>
      </c>
    </row>
    <row r="28" customFormat="false" ht="22.35" hidden="false" customHeight="false" outlineLevel="0" collapsed="false">
      <c r="A28" s="7" t="s">
        <v>64</v>
      </c>
      <c r="B28" s="11" t="n">
        <v>600</v>
      </c>
      <c r="C28" s="9" t="s">
        <v>65</v>
      </c>
      <c r="D28" s="10" t="s">
        <v>66</v>
      </c>
    </row>
    <row r="29" customFormat="false" ht="15" hidden="false" customHeight="false" outlineLevel="0" collapsed="false">
      <c r="A29" s="7" t="s">
        <v>67</v>
      </c>
      <c r="B29" s="11" t="n">
        <v>250</v>
      </c>
      <c r="C29" s="9" t="s">
        <v>65</v>
      </c>
      <c r="D29" s="10" t="s">
        <v>68</v>
      </c>
    </row>
    <row r="30" customFormat="false" ht="15" hidden="false" customHeight="false" outlineLevel="0" collapsed="false">
      <c r="A30" s="7" t="s">
        <v>69</v>
      </c>
      <c r="B30" s="8" t="n">
        <v>0.1</v>
      </c>
      <c r="C30" s="9" t="s">
        <v>70</v>
      </c>
      <c r="D30" s="10" t="s">
        <v>71</v>
      </c>
    </row>
    <row r="31" customFormat="false" ht="15" hidden="false" customHeight="false" outlineLevel="0" collapsed="false">
      <c r="A31" s="7" t="s">
        <v>72</v>
      </c>
      <c r="B31" s="8" t="n">
        <v>0.5</v>
      </c>
      <c r="C31" s="9" t="s">
        <v>70</v>
      </c>
      <c r="D31" s="10" t="s">
        <v>73</v>
      </c>
    </row>
    <row r="32" customFormat="false" ht="15" hidden="false" customHeight="false" outlineLevel="0" collapsed="false">
      <c r="A32" s="7" t="s">
        <v>74</v>
      </c>
      <c r="B32" s="8" t="n">
        <v>2</v>
      </c>
      <c r="C32" s="9" t="s">
        <v>70</v>
      </c>
      <c r="D32" s="10" t="s">
        <v>75</v>
      </c>
    </row>
    <row r="33" customFormat="false" ht="15" hidden="false" customHeight="false" outlineLevel="0" collapsed="false">
      <c r="A33" s="7" t="s">
        <v>76</v>
      </c>
      <c r="B33" s="8" t="n">
        <v>10</v>
      </c>
      <c r="C33" s="9" t="s">
        <v>70</v>
      </c>
      <c r="D33" s="10" t="s">
        <v>75</v>
      </c>
    </row>
    <row r="34" customFormat="false" ht="15" hidden="false" customHeight="false" outlineLevel="0" collapsed="false">
      <c r="A34" s="7" t="s">
        <v>77</v>
      </c>
      <c r="B34" s="12" t="n">
        <v>40</v>
      </c>
      <c r="C34" s="9" t="s">
        <v>78</v>
      </c>
      <c r="D34" s="10" t="s">
        <v>79</v>
      </c>
    </row>
    <row r="35" customFormat="false" ht="15" hidden="false" customHeight="false" outlineLevel="0" collapsed="false">
      <c r="A35" s="7" t="s">
        <v>80</v>
      </c>
      <c r="B35" s="11" t="n">
        <v>30</v>
      </c>
      <c r="C35" s="9" t="s">
        <v>81</v>
      </c>
      <c r="D35" s="10" t="s">
        <v>82</v>
      </c>
    </row>
    <row r="36" customFormat="false" ht="15" hidden="false" customHeight="false" outlineLevel="0" collapsed="false">
      <c r="A36" s="7" t="s">
        <v>83</v>
      </c>
      <c r="B36" s="15" t="n">
        <v>0.1</v>
      </c>
      <c r="C36" s="9" t="s">
        <v>55</v>
      </c>
      <c r="D36" s="10" t="s">
        <v>48</v>
      </c>
    </row>
    <row r="37" customFormat="false" ht="15" hidden="false" customHeight="false" outlineLevel="0" collapsed="false">
      <c r="A37" s="5" t="s">
        <v>84</v>
      </c>
      <c r="B37" s="6"/>
      <c r="C37" s="6"/>
      <c r="D37" s="6"/>
    </row>
    <row r="38" customFormat="false" ht="15" hidden="false" customHeight="false" outlineLevel="0" collapsed="false">
      <c r="A38" s="7" t="s">
        <v>85</v>
      </c>
      <c r="B38" s="16" t="n">
        <v>13490</v>
      </c>
      <c r="C38" s="9" t="s">
        <v>86</v>
      </c>
      <c r="D38" s="10" t="s">
        <v>87</v>
      </c>
    </row>
    <row r="39" customFormat="false" ht="15" hidden="false" customHeight="false" outlineLevel="0" collapsed="false">
      <c r="A39" s="7" t="s">
        <v>88</v>
      </c>
      <c r="B39" s="16" t="n">
        <v>499</v>
      </c>
      <c r="C39" s="9" t="s">
        <v>23</v>
      </c>
      <c r="D39" s="10" t="s">
        <v>87</v>
      </c>
    </row>
    <row r="40" customFormat="false" ht="15" hidden="false" customHeight="false" outlineLevel="0" collapsed="false">
      <c r="A40" s="7" t="s">
        <v>89</v>
      </c>
      <c r="B40" s="11" t="n">
        <v>1</v>
      </c>
      <c r="C40" s="9" t="s">
        <v>90</v>
      </c>
      <c r="D40" s="10" t="s">
        <v>91</v>
      </c>
    </row>
    <row r="41" customFormat="false" ht="15" hidden="false" customHeight="false" outlineLevel="0" collapsed="false">
      <c r="A41" s="7" t="s">
        <v>92</v>
      </c>
      <c r="B41" s="17" t="n">
        <v>0.0349</v>
      </c>
      <c r="C41" s="9" t="s">
        <v>93</v>
      </c>
      <c r="D41" s="10" t="s">
        <v>94</v>
      </c>
    </row>
    <row r="42" customFormat="false" ht="15" hidden="false" customHeight="false" outlineLevel="0" collapsed="false">
      <c r="A42" s="7" t="s">
        <v>95</v>
      </c>
      <c r="B42" s="18" t="n">
        <v>4</v>
      </c>
      <c r="C42" s="9" t="s">
        <v>96</v>
      </c>
      <c r="D42" s="10" t="s">
        <v>97</v>
      </c>
    </row>
    <row r="43" customFormat="false" ht="15" hidden="false" customHeight="false" outlineLevel="0" collapsed="false">
      <c r="A43" s="7" t="s">
        <v>98</v>
      </c>
      <c r="B43" s="15" t="n">
        <v>0.16</v>
      </c>
      <c r="C43" s="9" t="s">
        <v>55</v>
      </c>
      <c r="D43" s="10" t="s">
        <v>99</v>
      </c>
    </row>
    <row r="44" customFormat="false" ht="15" hidden="false" customHeight="false" outlineLevel="0" collapsed="false">
      <c r="A44" s="7" t="s">
        <v>100</v>
      </c>
      <c r="B44" s="13" t="n">
        <v>250</v>
      </c>
      <c r="C44" s="9" t="s">
        <v>45</v>
      </c>
      <c r="D44" s="10" t="s">
        <v>101</v>
      </c>
    </row>
    <row r="45" customFormat="false" ht="15" hidden="false" customHeight="false" outlineLevel="0" collapsed="false">
      <c r="A45" s="5" t="s">
        <v>102</v>
      </c>
      <c r="B45" s="6"/>
      <c r="C45" s="6"/>
      <c r="D45" s="6"/>
    </row>
    <row r="46" customFormat="false" ht="15" hidden="false" customHeight="false" outlineLevel="0" collapsed="false">
      <c r="A46" s="7" t="s">
        <v>103</v>
      </c>
      <c r="B46" s="11" t="n">
        <v>1</v>
      </c>
      <c r="C46" s="9" t="s">
        <v>104</v>
      </c>
      <c r="D46" s="10" t="s">
        <v>48</v>
      </c>
    </row>
    <row r="47" customFormat="false" ht="15" hidden="false" customHeight="false" outlineLevel="0" collapsed="false">
      <c r="A47" s="7" t="s">
        <v>105</v>
      </c>
      <c r="B47" s="13" t="n">
        <v>10</v>
      </c>
      <c r="C47" s="9" t="s">
        <v>86</v>
      </c>
      <c r="D47" s="10" t="s">
        <v>106</v>
      </c>
    </row>
    <row r="48" customFormat="false" ht="15" hidden="false" customHeight="false" outlineLevel="0" collapsed="false">
      <c r="A48" s="7" t="s">
        <v>107</v>
      </c>
      <c r="B48" s="11" t="n">
        <v>4</v>
      </c>
      <c r="C48" s="9" t="s">
        <v>108</v>
      </c>
      <c r="D48" s="10" t="s">
        <v>109</v>
      </c>
    </row>
    <row r="49" customFormat="false" ht="15" hidden="false" customHeight="false" outlineLevel="0" collapsed="false">
      <c r="A49" s="7" t="s">
        <v>110</v>
      </c>
      <c r="B49" s="13" t="n">
        <v>1000</v>
      </c>
      <c r="C49" s="9" t="s">
        <v>23</v>
      </c>
      <c r="D49" s="10" t="s">
        <v>48</v>
      </c>
    </row>
    <row r="50" customFormat="false" ht="15" hidden="false" customHeight="false" outlineLevel="0" collapsed="false">
      <c r="A50" s="7" t="s">
        <v>111</v>
      </c>
      <c r="B50" s="13" t="n">
        <v>1000</v>
      </c>
      <c r="C50" s="9" t="s">
        <v>23</v>
      </c>
      <c r="D50" s="10" t="s">
        <v>48</v>
      </c>
    </row>
    <row r="51" customFormat="false" ht="15" hidden="false" customHeight="false" outlineLevel="0" collapsed="false">
      <c r="A51" s="7" t="s">
        <v>112</v>
      </c>
      <c r="B51" s="13" t="n">
        <v>5000</v>
      </c>
      <c r="C51" s="9" t="s">
        <v>86</v>
      </c>
      <c r="D51" s="10" t="s">
        <v>48</v>
      </c>
    </row>
    <row r="52" customFormat="false" ht="15" hidden="false" customHeight="false" outlineLevel="0" collapsed="false">
      <c r="A52" s="7" t="s">
        <v>113</v>
      </c>
      <c r="B52" s="11" t="n">
        <v>99</v>
      </c>
      <c r="C52" s="9" t="s">
        <v>114</v>
      </c>
      <c r="D52" s="10" t="s">
        <v>115</v>
      </c>
    </row>
    <row r="53" customFormat="false" ht="15" hidden="false" customHeight="false" outlineLevel="0" collapsed="false">
      <c r="A53" s="7" t="s">
        <v>116</v>
      </c>
      <c r="B53" s="11" t="n">
        <v>25</v>
      </c>
      <c r="C53" s="9" t="s">
        <v>117</v>
      </c>
      <c r="D53" s="10" t="s">
        <v>118</v>
      </c>
    </row>
    <row r="54" customFormat="false" ht="15" hidden="false" customHeight="false" outlineLevel="0" collapsed="false">
      <c r="A54" s="7" t="s">
        <v>119</v>
      </c>
      <c r="B54" s="13" t="n">
        <v>600</v>
      </c>
      <c r="C54" s="9" t="s">
        <v>120</v>
      </c>
      <c r="D54" s="10" t="s">
        <v>48</v>
      </c>
    </row>
    <row r="55" customFormat="false" ht="15" hidden="false" customHeight="false" outlineLevel="0" collapsed="false">
      <c r="A55" s="7" t="s">
        <v>121</v>
      </c>
      <c r="B55" s="13" t="n">
        <v>3000</v>
      </c>
      <c r="C55" s="9" t="s">
        <v>86</v>
      </c>
      <c r="D55" s="10" t="s">
        <v>48</v>
      </c>
    </row>
    <row r="56" customFormat="false" ht="15" hidden="false" customHeight="false" outlineLevel="0" collapsed="false">
      <c r="A56" s="5" t="s">
        <v>122</v>
      </c>
      <c r="B56" s="6"/>
      <c r="C56" s="6"/>
      <c r="D56" s="6"/>
    </row>
    <row r="57" customFormat="false" ht="15" hidden="false" customHeight="false" outlineLevel="0" collapsed="false">
      <c r="A57" s="7" t="s">
        <v>123</v>
      </c>
      <c r="B57" s="12" t="n">
        <v>2</v>
      </c>
      <c r="C57" s="9" t="s">
        <v>124</v>
      </c>
      <c r="D57" s="10" t="s">
        <v>125</v>
      </c>
    </row>
    <row r="58" customFormat="false" ht="15" hidden="false" customHeight="false" outlineLevel="0" collapsed="false">
      <c r="A58" s="7" t="s">
        <v>126</v>
      </c>
      <c r="B58" s="16" t="n">
        <v>850</v>
      </c>
      <c r="C58" s="9" t="s">
        <v>23</v>
      </c>
      <c r="D58" s="10" t="s">
        <v>127</v>
      </c>
    </row>
    <row r="59" customFormat="false" ht="23.85" hidden="false" customHeight="false" outlineLevel="0" collapsed="false">
      <c r="A59" s="7" t="s">
        <v>128</v>
      </c>
      <c r="B59" s="11" t="n">
        <v>12</v>
      </c>
      <c r="C59" s="9" t="s">
        <v>129</v>
      </c>
      <c r="D59" s="10" t="s">
        <v>130</v>
      </c>
    </row>
    <row r="60" customFormat="false" ht="23.85" hidden="false" customHeight="false" outlineLevel="0" collapsed="false">
      <c r="A60" s="7" t="s">
        <v>131</v>
      </c>
      <c r="B60" s="15" t="n">
        <v>0.6</v>
      </c>
      <c r="C60" s="9" t="s">
        <v>55</v>
      </c>
      <c r="D60" s="10" t="s">
        <v>130</v>
      </c>
    </row>
    <row r="61" customFormat="false" ht="15" hidden="false" customHeight="false" outlineLevel="0" collapsed="false">
      <c r="A61" s="7" t="s">
        <v>132</v>
      </c>
      <c r="B61" s="15" t="n">
        <v>0.15</v>
      </c>
      <c r="C61" s="9" t="s">
        <v>58</v>
      </c>
      <c r="D61" s="10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3" min="3" style="0" width="34"/>
    <col collapsed="false" customWidth="true" hidden="false" outlineLevel="0" max="4" min="4" style="0" width="28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46"/>
  </cols>
  <sheetData>
    <row r="1" customFormat="false" ht="16.15" hidden="false" customHeight="false" outlineLevel="0" collapsed="false">
      <c r="A1" s="1" t="s">
        <v>134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3" t="s">
        <v>135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23.85" hidden="false" customHeight="false" outlineLevel="0" collapsed="false">
      <c r="A3" s="4" t="s">
        <v>136</v>
      </c>
      <c r="B3" s="4" t="s">
        <v>137</v>
      </c>
      <c r="C3" s="4" t="s">
        <v>138</v>
      </c>
      <c r="D3" s="4" t="s">
        <v>139</v>
      </c>
      <c r="E3" s="4" t="s">
        <v>140</v>
      </c>
      <c r="F3" s="4" t="s">
        <v>141</v>
      </c>
      <c r="G3" s="4" t="s">
        <v>142</v>
      </c>
      <c r="H3" s="4" t="s">
        <v>143</v>
      </c>
      <c r="I3" s="4" t="s">
        <v>144</v>
      </c>
      <c r="J3" s="4" t="s">
        <v>145</v>
      </c>
    </row>
    <row r="4" customFormat="false" ht="23.85" hidden="false" customHeight="false" outlineLevel="0" collapsed="false">
      <c r="A4" s="9" t="n">
        <v>1</v>
      </c>
      <c r="B4" s="7" t="s">
        <v>146</v>
      </c>
      <c r="C4" s="7" t="s">
        <v>147</v>
      </c>
      <c r="D4" s="7" t="s">
        <v>148</v>
      </c>
      <c r="E4" s="19" t="n">
        <v>3.24</v>
      </c>
      <c r="F4" s="20" t="n">
        <f aca="false">ROUND(E4*Supuestos!$B$5,0)</f>
        <v>61</v>
      </c>
      <c r="G4" s="19" t="n">
        <v>2.95</v>
      </c>
      <c r="H4" s="20" t="n">
        <f aca="false">ROUND(G4*Supuestos!$B$5,0)</f>
        <v>55</v>
      </c>
      <c r="I4" s="21" t="n">
        <f aca="false">F4/$F$19</f>
        <v>0.0415814587593729</v>
      </c>
      <c r="J4" s="10" t="s">
        <v>149</v>
      </c>
    </row>
    <row r="5" customFormat="false" ht="23.85" hidden="false" customHeight="false" outlineLevel="0" collapsed="false">
      <c r="A5" s="9" t="n">
        <v>2</v>
      </c>
      <c r="B5" s="7" t="s">
        <v>150</v>
      </c>
      <c r="C5" s="7" t="s">
        <v>151</v>
      </c>
      <c r="D5" s="7" t="s">
        <v>152</v>
      </c>
      <c r="E5" s="19" t="n">
        <v>22.7315</v>
      </c>
      <c r="F5" s="20" t="n">
        <f aca="false">ROUND(E5*Supuestos!$B$5,0)*Supuestos!$B$9</f>
        <v>425</v>
      </c>
      <c r="G5" s="19" t="n">
        <v>19.2744</v>
      </c>
      <c r="H5" s="20" t="n">
        <f aca="false">ROUND(G5*Supuestos!$B$5,0)*Supuestos!$B$9</f>
        <v>360</v>
      </c>
      <c r="I5" s="21" t="n">
        <f aca="false">F5/$F$19</f>
        <v>0.289706884798909</v>
      </c>
      <c r="J5" s="10" t="s">
        <v>153</v>
      </c>
    </row>
    <row r="6" customFormat="false" ht="23.85" hidden="false" customHeight="false" outlineLevel="0" collapsed="false">
      <c r="A6" s="9" t="n">
        <v>3</v>
      </c>
      <c r="B6" s="7" t="s">
        <v>154</v>
      </c>
      <c r="C6" s="7" t="s">
        <v>155</v>
      </c>
      <c r="D6" s="7" t="s">
        <v>156</v>
      </c>
      <c r="E6" s="2"/>
      <c r="F6" s="22" t="n">
        <v>95</v>
      </c>
      <c r="G6" s="2"/>
      <c r="H6" s="22" t="n">
        <v>80</v>
      </c>
      <c r="I6" s="21" t="n">
        <f aca="false">F6/$F$19</f>
        <v>0.0647580095432856</v>
      </c>
      <c r="J6" s="10" t="s">
        <v>157</v>
      </c>
    </row>
    <row r="7" customFormat="false" ht="15" hidden="false" customHeight="false" outlineLevel="0" collapsed="false">
      <c r="A7" s="9" t="n">
        <v>4</v>
      </c>
      <c r="B7" s="7" t="s">
        <v>158</v>
      </c>
      <c r="C7" s="7" t="s">
        <v>159</v>
      </c>
      <c r="D7" s="7" t="s">
        <v>156</v>
      </c>
      <c r="E7" s="2"/>
      <c r="F7" s="22" t="n">
        <v>60</v>
      </c>
      <c r="G7" s="2"/>
      <c r="H7" s="22" t="n">
        <v>60</v>
      </c>
      <c r="I7" s="21" t="n">
        <f aca="false">F7/$F$19</f>
        <v>0.0408997955010225</v>
      </c>
      <c r="J7" s="10" t="s">
        <v>160</v>
      </c>
    </row>
    <row r="8" customFormat="false" ht="23.85" hidden="false" customHeight="false" outlineLevel="0" collapsed="false">
      <c r="A8" s="9" t="n">
        <v>5</v>
      </c>
      <c r="B8" s="7" t="s">
        <v>161</v>
      </c>
      <c r="C8" s="7" t="s">
        <v>162</v>
      </c>
      <c r="D8" s="7" t="s">
        <v>163</v>
      </c>
      <c r="E8" s="2"/>
      <c r="F8" s="22" t="n">
        <v>70</v>
      </c>
      <c r="G8" s="2"/>
      <c r="H8" s="22" t="n">
        <v>55</v>
      </c>
      <c r="I8" s="21" t="n">
        <f aca="false">F8/$F$19</f>
        <v>0.0477164280845262</v>
      </c>
      <c r="J8" s="10" t="s">
        <v>48</v>
      </c>
    </row>
    <row r="9" customFormat="false" ht="23.85" hidden="false" customHeight="false" outlineLevel="0" collapsed="false">
      <c r="A9" s="9" t="n">
        <v>6</v>
      </c>
      <c r="B9" s="7" t="s">
        <v>164</v>
      </c>
      <c r="C9" s="7" t="s">
        <v>165</v>
      </c>
      <c r="D9" s="7" t="s">
        <v>166</v>
      </c>
      <c r="E9" s="2"/>
      <c r="F9" s="22" t="n">
        <v>60</v>
      </c>
      <c r="G9" s="2"/>
      <c r="H9" s="22" t="n">
        <v>48</v>
      </c>
      <c r="I9" s="21" t="n">
        <f aca="false">F9/$F$19</f>
        <v>0.0408997955010225</v>
      </c>
      <c r="J9" s="10" t="s">
        <v>48</v>
      </c>
    </row>
    <row r="10" customFormat="false" ht="15" hidden="false" customHeight="false" outlineLevel="0" collapsed="false">
      <c r="A10" s="9" t="n">
        <v>7</v>
      </c>
      <c r="B10" s="7" t="s">
        <v>167</v>
      </c>
      <c r="C10" s="7" t="s">
        <v>168</v>
      </c>
      <c r="D10" s="7" t="s">
        <v>169</v>
      </c>
      <c r="E10" s="2"/>
      <c r="F10" s="22" t="n">
        <v>150</v>
      </c>
      <c r="G10" s="2"/>
      <c r="H10" s="22" t="n">
        <v>120</v>
      </c>
      <c r="I10" s="21" t="n">
        <f aca="false">F10/$F$19</f>
        <v>0.102249488752556</v>
      </c>
      <c r="J10" s="10" t="s">
        <v>48</v>
      </c>
    </row>
    <row r="11" customFormat="false" ht="23.85" hidden="false" customHeight="false" outlineLevel="0" collapsed="false">
      <c r="A11" s="9" t="n">
        <v>8</v>
      </c>
      <c r="B11" s="7" t="s">
        <v>170</v>
      </c>
      <c r="C11" s="7" t="s">
        <v>171</v>
      </c>
      <c r="D11" s="7" t="s">
        <v>172</v>
      </c>
      <c r="E11" s="2"/>
      <c r="F11" s="22" t="n">
        <v>80</v>
      </c>
      <c r="G11" s="2"/>
      <c r="H11" s="22" t="n">
        <v>60</v>
      </c>
      <c r="I11" s="21" t="n">
        <f aca="false">F11/$F$19</f>
        <v>0.05453306066803</v>
      </c>
      <c r="J11" s="10" t="s">
        <v>48</v>
      </c>
    </row>
    <row r="12" customFormat="false" ht="23.85" hidden="false" customHeight="false" outlineLevel="0" collapsed="false">
      <c r="A12" s="9" t="n">
        <v>9</v>
      </c>
      <c r="B12" s="7" t="s">
        <v>173</v>
      </c>
      <c r="C12" s="7" t="s">
        <v>174</v>
      </c>
      <c r="D12" s="7" t="s">
        <v>175</v>
      </c>
      <c r="E12" s="19" t="n">
        <v>4.86</v>
      </c>
      <c r="F12" s="20" t="n">
        <f aca="false">ROUND(E12*Supuestos!$B$5,0)</f>
        <v>91</v>
      </c>
      <c r="G12" s="19" t="n">
        <v>2.41</v>
      </c>
      <c r="H12" s="20" t="n">
        <f aca="false">ROUND(G12*Supuestos!$B$5,0)</f>
        <v>45</v>
      </c>
      <c r="I12" s="21" t="n">
        <f aca="false">F12/$F$19</f>
        <v>0.0620313565098841</v>
      </c>
      <c r="J12" s="10" t="s">
        <v>176</v>
      </c>
    </row>
    <row r="13" customFormat="false" ht="15" hidden="false" customHeight="false" outlineLevel="0" collapsed="false">
      <c r="A13" s="9" t="n">
        <v>10</v>
      </c>
      <c r="B13" s="7" t="s">
        <v>177</v>
      </c>
      <c r="C13" s="7" t="s">
        <v>178</v>
      </c>
      <c r="D13" s="7" t="s">
        <v>179</v>
      </c>
      <c r="E13" s="2"/>
      <c r="F13" s="22" t="n">
        <v>80</v>
      </c>
      <c r="G13" s="2"/>
      <c r="H13" s="22" t="n">
        <v>55</v>
      </c>
      <c r="I13" s="21" t="n">
        <f aca="false">F13/$F$19</f>
        <v>0.05453306066803</v>
      </c>
      <c r="J13" s="10" t="s">
        <v>48</v>
      </c>
    </row>
    <row r="14" customFormat="false" ht="23.85" hidden="false" customHeight="false" outlineLevel="0" collapsed="false">
      <c r="A14" s="9" t="n">
        <v>11</v>
      </c>
      <c r="B14" s="7" t="s">
        <v>180</v>
      </c>
      <c r="C14" s="7" t="s">
        <v>181</v>
      </c>
      <c r="D14" s="7" t="s">
        <v>182</v>
      </c>
      <c r="E14" s="2"/>
      <c r="F14" s="22" t="n">
        <v>60</v>
      </c>
      <c r="G14" s="2"/>
      <c r="H14" s="22" t="n">
        <v>45</v>
      </c>
      <c r="I14" s="21" t="n">
        <f aca="false">F14/$F$19</f>
        <v>0.0408997955010225</v>
      </c>
      <c r="J14" s="10" t="s">
        <v>48</v>
      </c>
    </row>
    <row r="15" customFormat="false" ht="23.85" hidden="false" customHeight="false" outlineLevel="0" collapsed="false">
      <c r="A15" s="9" t="n">
        <v>12</v>
      </c>
      <c r="B15" s="7" t="s">
        <v>183</v>
      </c>
      <c r="C15" s="7" t="s">
        <v>184</v>
      </c>
      <c r="D15" s="7" t="s">
        <v>185</v>
      </c>
      <c r="E15" s="2"/>
      <c r="F15" s="22" t="n">
        <v>115</v>
      </c>
      <c r="G15" s="2"/>
      <c r="H15" s="22" t="n">
        <v>105</v>
      </c>
      <c r="I15" s="21" t="n">
        <f aca="false">F15/$F$19</f>
        <v>0.0783912747102931</v>
      </c>
      <c r="J15" s="10" t="s">
        <v>48</v>
      </c>
    </row>
    <row r="16" customFormat="false" ht="23.85" hidden="false" customHeight="false" outlineLevel="0" collapsed="false">
      <c r="A16" s="9" t="n">
        <v>13</v>
      </c>
      <c r="B16" s="7" t="s">
        <v>186</v>
      </c>
      <c r="C16" s="7" t="s">
        <v>187</v>
      </c>
      <c r="D16" s="7" t="s">
        <v>188</v>
      </c>
      <c r="E16" s="2"/>
      <c r="F16" s="22" t="n">
        <v>55</v>
      </c>
      <c r="G16" s="2"/>
      <c r="H16" s="22" t="n">
        <v>42</v>
      </c>
      <c r="I16" s="21" t="n">
        <f aca="false">F16/$F$19</f>
        <v>0.0374914792092706</v>
      </c>
      <c r="J16" s="10" t="s">
        <v>48</v>
      </c>
    </row>
    <row r="17" customFormat="false" ht="15" hidden="false" customHeight="false" outlineLevel="0" collapsed="false">
      <c r="A17" s="9" t="n">
        <v>14</v>
      </c>
      <c r="B17" s="7" t="s">
        <v>189</v>
      </c>
      <c r="C17" s="7" t="s">
        <v>190</v>
      </c>
      <c r="D17" s="7" t="s">
        <v>191</v>
      </c>
      <c r="E17" s="2"/>
      <c r="F17" s="22" t="n">
        <v>20</v>
      </c>
      <c r="G17" s="2"/>
      <c r="H17" s="22" t="n">
        <v>15</v>
      </c>
      <c r="I17" s="21" t="n">
        <f aca="false">F17/$F$19</f>
        <v>0.0136332651670075</v>
      </c>
      <c r="J17" s="10" t="s">
        <v>48</v>
      </c>
    </row>
    <row r="18" customFormat="false" ht="15" hidden="false" customHeight="false" outlineLevel="0" collapsed="false">
      <c r="A18" s="9" t="n">
        <v>15</v>
      </c>
      <c r="B18" s="7" t="s">
        <v>192</v>
      </c>
      <c r="C18" s="7" t="s">
        <v>193</v>
      </c>
      <c r="D18" s="7" t="s">
        <v>194</v>
      </c>
      <c r="E18" s="2"/>
      <c r="F18" s="22" t="n">
        <v>45</v>
      </c>
      <c r="G18" s="2"/>
      <c r="H18" s="22" t="n">
        <v>28</v>
      </c>
      <c r="I18" s="21" t="n">
        <f aca="false">F18/$F$19</f>
        <v>0.0306748466257669</v>
      </c>
      <c r="J18" s="10" t="s">
        <v>48</v>
      </c>
    </row>
    <row r="19" customFormat="false" ht="15" hidden="false" customHeight="false" outlineLevel="0" collapsed="false">
      <c r="A19" s="2"/>
      <c r="B19" s="23" t="s">
        <v>195</v>
      </c>
      <c r="C19" s="2"/>
      <c r="D19" s="23" t="s">
        <v>196</v>
      </c>
      <c r="E19" s="2"/>
      <c r="F19" s="24" t="n">
        <f aca="false">SUM(F4:F18)</f>
        <v>1467</v>
      </c>
      <c r="G19" s="2"/>
      <c r="H19" s="24" t="n">
        <f aca="false">SUM(H4:H18)</f>
        <v>1173</v>
      </c>
      <c r="I19" s="25" t="n">
        <f aca="false">SUM(I4:I18)</f>
        <v>1</v>
      </c>
      <c r="J19" s="2"/>
    </row>
    <row r="20" customFormat="false" ht="15" hidden="false" customHeight="false" outlineLevel="0" collapsed="false">
      <c r="A20" s="2"/>
      <c r="B20" s="9" t="s">
        <v>197</v>
      </c>
      <c r="C20" s="2"/>
      <c r="D20" s="2"/>
      <c r="E20" s="2"/>
      <c r="F20" s="2"/>
      <c r="G20" s="2"/>
      <c r="H20" s="21" t="n">
        <f aca="false">H19/F19-1</f>
        <v>-0.20040899795501</v>
      </c>
      <c r="I20" s="2"/>
      <c r="J20" s="2"/>
    </row>
    <row r="21" customFormat="false" ht="15" hidden="false" customHeight="false" outlineLevel="0" collapsed="false">
      <c r="A21" s="2"/>
      <c r="B21" s="9" t="s">
        <v>198</v>
      </c>
      <c r="C21" s="2"/>
      <c r="D21" s="2"/>
      <c r="E21" s="2"/>
      <c r="F21" s="20" t="n">
        <f aca="false">F19*10</f>
        <v>14670</v>
      </c>
      <c r="G21" s="2"/>
      <c r="H21" s="2"/>
      <c r="I21" s="2"/>
      <c r="J2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3" min="2" style="0" width="15"/>
    <col collapsed="false" customWidth="true" hidden="false" outlineLevel="0" max="4" min="4" style="0" width="64"/>
  </cols>
  <sheetData>
    <row r="1" customFormat="false" ht="16.15" hidden="false" customHeight="false" outlineLevel="0" collapsed="false">
      <c r="A1" s="1" t="s">
        <v>199</v>
      </c>
      <c r="B1" s="2"/>
      <c r="C1" s="2"/>
      <c r="D1" s="2"/>
    </row>
    <row r="2" customFormat="false" ht="15" hidden="false" customHeight="false" outlineLevel="0" collapsed="false">
      <c r="A2" s="2"/>
      <c r="B2" s="2"/>
      <c r="C2" s="2"/>
      <c r="D2" s="2"/>
    </row>
    <row r="3" customFormat="false" ht="15" hidden="false" customHeight="false" outlineLevel="0" collapsed="false">
      <c r="A3" s="4" t="s">
        <v>200</v>
      </c>
      <c r="B3" s="4" t="s">
        <v>201</v>
      </c>
      <c r="C3" s="4" t="s">
        <v>202</v>
      </c>
      <c r="D3" s="4" t="s">
        <v>203</v>
      </c>
    </row>
    <row r="4" customFormat="false" ht="15" hidden="false" customHeight="false" outlineLevel="0" collapsed="false">
      <c r="A4" s="9" t="s">
        <v>204</v>
      </c>
      <c r="B4" s="26" t="n">
        <f aca="false">BOM!$F$19</f>
        <v>1467</v>
      </c>
      <c r="C4" s="26" t="n">
        <f aca="false">BOM!$H$19</f>
        <v>1173</v>
      </c>
      <c r="D4" s="3" t="s">
        <v>205</v>
      </c>
    </row>
    <row r="5" customFormat="false" ht="15" hidden="false" customHeight="false" outlineLevel="0" collapsed="false">
      <c r="A5" s="9" t="s">
        <v>206</v>
      </c>
      <c r="B5" s="26" t="n">
        <f aca="false">Supuestos!$B$16*Supuestos!$B$15</f>
        <v>120</v>
      </c>
      <c r="C5" s="26" t="n">
        <f aca="false">Supuestos!$B$17*Supuestos!$B$15</f>
        <v>80</v>
      </c>
      <c r="D5" s="3" t="s">
        <v>207</v>
      </c>
    </row>
    <row r="6" customFormat="false" ht="15" hidden="false" customHeight="false" outlineLevel="0" collapsed="false">
      <c r="A6" s="9" t="s">
        <v>208</v>
      </c>
      <c r="B6" s="26" t="n">
        <f aca="false">Supuestos!$B$20/Supuestos!$B$6</f>
        <v>40</v>
      </c>
      <c r="C6" s="26" t="n">
        <f aca="false">Supuestos!$B$21/Supuestos!$B$6</f>
        <v>25</v>
      </c>
      <c r="D6" s="3" t="s">
        <v>209</v>
      </c>
    </row>
    <row r="7" customFormat="false" ht="15" hidden="false" customHeight="false" outlineLevel="0" collapsed="false">
      <c r="A7" s="23" t="s">
        <v>210</v>
      </c>
      <c r="B7" s="27" t="n">
        <f aca="false">SUM(B4:B6)</f>
        <v>1627</v>
      </c>
      <c r="C7" s="27" t="n">
        <f aca="false">SUM(C4:C6)</f>
        <v>1278</v>
      </c>
      <c r="D7" s="3" t="s">
        <v>211</v>
      </c>
    </row>
    <row r="8" customFormat="false" ht="15" hidden="false" customHeight="false" outlineLevel="0" collapsed="false">
      <c r="A8" s="9" t="s">
        <v>212</v>
      </c>
      <c r="B8" s="26" t="n">
        <f aca="false">B7*Supuestos!$B$22</f>
        <v>244.05</v>
      </c>
      <c r="C8" s="26" t="n">
        <f aca="false">C7*Supuestos!$B$22</f>
        <v>191.7</v>
      </c>
      <c r="D8" s="3" t="s">
        <v>213</v>
      </c>
    </row>
    <row r="9" customFormat="false" ht="15" hidden="false" customHeight="false" outlineLevel="0" collapsed="false">
      <c r="A9" s="9" t="s">
        <v>214</v>
      </c>
      <c r="B9" s="26" t="n">
        <f aca="false">B7*Supuestos!$B$23</f>
        <v>406.75</v>
      </c>
      <c r="C9" s="26" t="n">
        <f aca="false">C7*Supuestos!$B$23</f>
        <v>319.5</v>
      </c>
      <c r="D9" s="3" t="s">
        <v>215</v>
      </c>
    </row>
    <row r="10" customFormat="false" ht="15" hidden="false" customHeight="false" outlineLevel="0" collapsed="false">
      <c r="A10" s="23" t="s">
        <v>216</v>
      </c>
      <c r="B10" s="27" t="n">
        <f aca="false">B7+B8+B9</f>
        <v>2277.8</v>
      </c>
      <c r="C10" s="27" t="n">
        <f aca="false">C7+C8+C9</f>
        <v>1789.2</v>
      </c>
      <c r="D10" s="3" t="s">
        <v>217</v>
      </c>
    </row>
    <row r="11" customFormat="false" ht="15" hidden="false" customHeight="false" outlineLevel="0" collapsed="false">
      <c r="A11" s="9" t="s">
        <v>218</v>
      </c>
      <c r="B11" s="26" t="n">
        <f aca="false">Supuestos!$B$27*Supuestos!$B$5*12/(Supuestos!$B$7*Supuestos!$B$6)</f>
        <v>140.25</v>
      </c>
      <c r="C11" s="26" t="n">
        <f aca="false">Supuestos!$B$27*Supuestos!$B$5*12/(Supuestos!$B$8*Supuestos!$B$6)</f>
        <v>56.1</v>
      </c>
      <c r="D11" s="3" t="s">
        <v>219</v>
      </c>
    </row>
    <row r="12" customFormat="false" ht="15" hidden="false" customHeight="false" outlineLevel="0" collapsed="false">
      <c r="A12" s="9" t="s">
        <v>220</v>
      </c>
      <c r="B12" s="26" t="n">
        <f aca="false">IA!$B$9*12/Supuestos!$B$6</f>
        <v>13.69962</v>
      </c>
      <c r="C12" s="26" t="n">
        <f aca="false">IA!$B$9*12/Supuestos!$B$6</f>
        <v>13.69962</v>
      </c>
      <c r="D12" s="3" t="s">
        <v>221</v>
      </c>
    </row>
    <row r="13" customFormat="false" ht="15" hidden="false" customHeight="false" outlineLevel="0" collapsed="false">
      <c r="A13" s="23" t="s">
        <v>222</v>
      </c>
      <c r="B13" s="27" t="n">
        <f aca="false">B10+B11+B12</f>
        <v>2431.74962</v>
      </c>
      <c r="C13" s="27" t="n">
        <f aca="false">C10+C11+C12</f>
        <v>1858.99962</v>
      </c>
      <c r="D13" s="3" t="s">
        <v>223</v>
      </c>
    </row>
    <row r="14" customFormat="false" ht="15" hidden="false" customHeight="false" outlineLevel="0" collapsed="false">
      <c r="A14" s="23" t="s">
        <v>224</v>
      </c>
      <c r="B14" s="27" t="n">
        <f aca="false">B10*Supuestos!$B$6</f>
        <v>9111.2</v>
      </c>
      <c r="C14" s="27" t="n">
        <f aca="false">C10*Supuestos!$B$6</f>
        <v>7156.8</v>
      </c>
      <c r="D14" s="3" t="s">
        <v>225</v>
      </c>
    </row>
    <row r="15" customFormat="false" ht="15" hidden="false" customHeight="false" outlineLevel="0" collapsed="false">
      <c r="A15" s="9" t="s">
        <v>226</v>
      </c>
      <c r="B15" s="21" t="n">
        <f aca="false">BOM!$F$5/B4</f>
        <v>0.289706884798909</v>
      </c>
      <c r="C15" s="21" t="n">
        <f aca="false">BOM!$H$5/C4</f>
        <v>0.30690537084399</v>
      </c>
      <c r="D15" s="3" t="s">
        <v>227</v>
      </c>
    </row>
    <row r="16" customFormat="false" ht="15" hidden="false" customHeight="false" outlineLevel="0" collapsed="false">
      <c r="A16" s="9" t="s">
        <v>228</v>
      </c>
      <c r="B16" s="21" t="n">
        <f aca="false">BOM!$F$5/B13</f>
        <v>0.17477128257966</v>
      </c>
      <c r="C16" s="21" t="n">
        <f aca="false">BOM!$H$5/C13</f>
        <v>0.193652540929513</v>
      </c>
      <c r="D16" s="3"/>
    </row>
    <row r="17" customFormat="false" ht="15" hidden="false" customHeight="false" outlineLevel="0" collapsed="false">
      <c r="A17" s="9" t="s">
        <v>229</v>
      </c>
      <c r="B17" s="21" t="n">
        <f aca="false">B12/B13</f>
        <v>0.00563364743118578</v>
      </c>
      <c r="C17" s="21" t="n">
        <f aca="false">C12/C13</f>
        <v>0.00736935061880217</v>
      </c>
      <c r="D17" s="3"/>
    </row>
    <row r="18" customFormat="false" ht="15" hidden="false" customHeight="false" outlineLevel="0" collapsed="false">
      <c r="A18" s="9" t="s">
        <v>230</v>
      </c>
      <c r="B18" s="21" t="n">
        <f aca="false">B11/B13</f>
        <v>0.0576745232512877</v>
      </c>
      <c r="C18" s="21" t="n">
        <f aca="false">C11/C13</f>
        <v>0.0301775209615159</v>
      </c>
      <c r="D18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60"/>
  </cols>
  <sheetData>
    <row r="1" customFormat="false" ht="16.15" hidden="false" customHeight="false" outlineLevel="0" collapsed="false">
      <c r="A1" s="1" t="s">
        <v>231</v>
      </c>
      <c r="B1" s="2"/>
      <c r="C1" s="2"/>
    </row>
    <row r="2" customFormat="false" ht="15" hidden="false" customHeight="false" outlineLevel="0" collapsed="false">
      <c r="A2" s="2"/>
      <c r="B2" s="2"/>
      <c r="C2" s="2"/>
    </row>
    <row r="3" customFormat="false" ht="15" hidden="false" customHeight="false" outlineLevel="0" collapsed="false">
      <c r="A3" s="4" t="s">
        <v>200</v>
      </c>
      <c r="B3" s="4" t="s">
        <v>3</v>
      </c>
      <c r="C3" s="4" t="s">
        <v>203</v>
      </c>
    </row>
    <row r="4" customFormat="false" ht="15" hidden="false" customHeight="false" outlineLevel="0" collapsed="false">
      <c r="A4" s="7" t="s">
        <v>232</v>
      </c>
      <c r="B4" s="28" t="n">
        <f aca="false">Supuestos!$B$34*Supuestos!$B$35*(1+Supuestos!$B$36)</f>
        <v>1320</v>
      </c>
      <c r="C4" s="3" t="s">
        <v>233</v>
      </c>
    </row>
    <row r="5" customFormat="false" ht="15" hidden="false" customHeight="false" outlineLevel="0" collapsed="false">
      <c r="A5" s="7" t="s">
        <v>234</v>
      </c>
      <c r="B5" s="29" t="n">
        <f aca="false">Supuestos!$B$28*Supuestos!$B$30/1000000</f>
        <v>6E-005</v>
      </c>
      <c r="C5" s="3" t="s">
        <v>235</v>
      </c>
    </row>
    <row r="6" customFormat="false" ht="15" hidden="false" customHeight="false" outlineLevel="0" collapsed="false">
      <c r="A6" s="7" t="s">
        <v>236</v>
      </c>
      <c r="B6" s="29" t="n">
        <f aca="false">Supuestos!$B$29*Supuestos!$B$31/1000000</f>
        <v>0.000125</v>
      </c>
      <c r="C6" s="3" t="s">
        <v>237</v>
      </c>
    </row>
    <row r="7" customFormat="false" ht="15" hidden="false" customHeight="false" outlineLevel="0" collapsed="false">
      <c r="A7" s="7" t="s">
        <v>238</v>
      </c>
      <c r="B7" s="29" t="n">
        <f aca="false">B5+B6</f>
        <v>0.000185</v>
      </c>
      <c r="C7" s="3" t="s">
        <v>239</v>
      </c>
    </row>
    <row r="8" customFormat="false" ht="15" hidden="false" customHeight="false" outlineLevel="0" collapsed="false">
      <c r="A8" s="7" t="s">
        <v>240</v>
      </c>
      <c r="B8" s="30" t="n">
        <f aca="false">B7*B4</f>
        <v>0.2442</v>
      </c>
      <c r="C8" s="3" t="s">
        <v>241</v>
      </c>
    </row>
    <row r="9" customFormat="false" ht="15" hidden="false" customHeight="false" outlineLevel="0" collapsed="false">
      <c r="A9" s="7" t="s">
        <v>242</v>
      </c>
      <c r="B9" s="26" t="n">
        <f aca="false">B8*Supuestos!$B$5</f>
        <v>4.56654</v>
      </c>
      <c r="C9" s="3" t="s">
        <v>243</v>
      </c>
    </row>
    <row r="10" customFormat="false" ht="15" hidden="false" customHeight="false" outlineLevel="0" collapsed="false">
      <c r="A10" s="7" t="s">
        <v>244</v>
      </c>
      <c r="B10" s="26" t="n">
        <f aca="false">B9/Supuestos!$B$6</f>
        <v>1.141635</v>
      </c>
      <c r="C10" s="3" t="s">
        <v>245</v>
      </c>
    </row>
    <row r="11" customFormat="false" ht="23.85" hidden="false" customHeight="false" outlineLevel="0" collapsed="false">
      <c r="A11" s="7" t="s">
        <v>246</v>
      </c>
      <c r="B11" s="26" t="n">
        <f aca="false">B7*2*Supuestos!$B$35*(1+Supuestos!$B$36)*Supuestos!$B$5</f>
        <v>0.228327</v>
      </c>
      <c r="C11" s="3" t="s">
        <v>247</v>
      </c>
    </row>
    <row r="12" customFormat="false" ht="15" hidden="false" customHeight="false" outlineLevel="0" collapsed="false">
      <c r="A12" s="7" t="s">
        <v>248</v>
      </c>
      <c r="B12" s="31" t="n">
        <f aca="false">B9/Supuestos!$B$39</f>
        <v>0.00915138276553106</v>
      </c>
      <c r="C12" s="3" t="s">
        <v>249</v>
      </c>
    </row>
    <row r="13" customFormat="false" ht="15" hidden="false" customHeight="false" outlineLevel="0" collapsed="false">
      <c r="A13" s="7" t="s">
        <v>250</v>
      </c>
      <c r="B13" s="26" t="n">
        <f aca="false">(Supuestos!$B$28*Supuestos!$B$32+Supuestos!$B$29*Supuestos!$B$33)/1000000*B4*Supuestos!$B$5</f>
        <v>91.3308</v>
      </c>
      <c r="C13" s="3" t="s">
        <v>251</v>
      </c>
    </row>
    <row r="14" customFormat="false" ht="15" hidden="false" customHeight="false" outlineLevel="0" collapsed="false">
      <c r="A14" s="7" t="s">
        <v>252</v>
      </c>
      <c r="B14" s="31" t="n">
        <f aca="false">B13/Supuestos!$B$39</f>
        <v>0.183027655310621</v>
      </c>
      <c r="C14" s="3"/>
    </row>
    <row r="15" customFormat="false" ht="15" hidden="false" customHeight="false" outlineLevel="0" collapsed="false">
      <c r="A15" s="7" t="s">
        <v>253</v>
      </c>
      <c r="B15" s="20" t="n">
        <f aca="false">B9*12*Supuestos!$B$7</f>
        <v>547.9848</v>
      </c>
      <c r="C15" s="3" t="s">
        <v>254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3" min="2" style="0" width="16"/>
    <col collapsed="false" customWidth="true" hidden="false" outlineLevel="0" max="4" min="4" style="0" width="58"/>
  </cols>
  <sheetData>
    <row r="1" customFormat="false" ht="16.15" hidden="false" customHeight="false" outlineLevel="0" collapsed="false">
      <c r="A1" s="1" t="s">
        <v>255</v>
      </c>
      <c r="B1" s="2"/>
      <c r="C1" s="2"/>
      <c r="D1" s="2"/>
    </row>
    <row r="2" customFormat="false" ht="15" hidden="false" customHeight="false" outlineLevel="0" collapsed="false">
      <c r="A2" s="2"/>
      <c r="B2" s="2"/>
      <c r="C2" s="2"/>
      <c r="D2" s="2"/>
    </row>
    <row r="3" customFormat="false" ht="15" hidden="false" customHeight="false" outlineLevel="0" collapsed="false">
      <c r="A3" s="4" t="s">
        <v>200</v>
      </c>
      <c r="B3" s="4" t="s">
        <v>256</v>
      </c>
      <c r="C3" s="4" t="s">
        <v>257</v>
      </c>
      <c r="D3" s="4" t="s">
        <v>203</v>
      </c>
    </row>
    <row r="4" customFormat="false" ht="15" hidden="false" customHeight="false" outlineLevel="0" collapsed="false">
      <c r="A4" s="32" t="s">
        <v>258</v>
      </c>
      <c r="B4" s="27" t="n">
        <f aca="false">'Costo unitario'!$B$14*(1+Supuestos!$B$24)</f>
        <v>12755.68</v>
      </c>
      <c r="C4" s="27" t="n">
        <f aca="false">'Costo unitario'!$C$14*(1+Supuestos!$B$24)</f>
        <v>10019.52</v>
      </c>
      <c r="D4" s="3" t="s">
        <v>259</v>
      </c>
    </row>
    <row r="5" customFormat="false" ht="15" hidden="false" customHeight="false" outlineLevel="0" collapsed="false">
      <c r="A5" s="7" t="s">
        <v>260</v>
      </c>
      <c r="B5" s="26" t="n">
        <f aca="false">Supuestos!$B$27*Supuestos!$B$5/Supuestos!$B$7</f>
        <v>46.75</v>
      </c>
      <c r="C5" s="26" t="n">
        <f aca="false">Supuestos!$B$27*Supuestos!$B$5/Supuestos!$B$8</f>
        <v>18.7</v>
      </c>
      <c r="D5" s="3" t="s">
        <v>261</v>
      </c>
    </row>
    <row r="6" customFormat="false" ht="15" hidden="false" customHeight="false" outlineLevel="0" collapsed="false">
      <c r="A6" s="7" t="s">
        <v>262</v>
      </c>
      <c r="B6" s="26" t="n">
        <f aca="false">IA!$B$9</f>
        <v>4.56654</v>
      </c>
      <c r="C6" s="26" t="n">
        <f aca="false">IA!$B$9</f>
        <v>4.56654</v>
      </c>
      <c r="D6" s="3" t="s">
        <v>263</v>
      </c>
    </row>
    <row r="7" customFormat="false" ht="15" hidden="false" customHeight="false" outlineLevel="0" collapsed="false">
      <c r="A7" s="7" t="s">
        <v>264</v>
      </c>
      <c r="B7" s="26" t="n">
        <f aca="false">Supuestos!$B$46*Supuestos!$B$15</f>
        <v>80</v>
      </c>
      <c r="C7" s="26" t="n">
        <f aca="false">Supuestos!$B$46*Supuestos!$B$15</f>
        <v>80</v>
      </c>
      <c r="D7" s="3" t="s">
        <v>265</v>
      </c>
    </row>
    <row r="8" customFormat="false" ht="15" hidden="false" customHeight="false" outlineLevel="0" collapsed="false">
      <c r="A8" s="7" t="s">
        <v>266</v>
      </c>
      <c r="B8" s="26" t="n">
        <f aca="false">Supuestos!$B$48*Supuestos!$B$47/3</f>
        <v>13.3333333333333</v>
      </c>
      <c r="C8" s="26" t="n">
        <f aca="false">Supuestos!$B$48*Supuestos!$B$47/3</f>
        <v>13.3333333333333</v>
      </c>
      <c r="D8" s="3" t="s">
        <v>267</v>
      </c>
    </row>
    <row r="9" customFormat="false" ht="15" hidden="false" customHeight="false" outlineLevel="0" collapsed="false">
      <c r="A9" s="7" t="s">
        <v>268</v>
      </c>
      <c r="B9" s="26" t="n">
        <f aca="false">SUM(B5:B8)</f>
        <v>144.649873333333</v>
      </c>
      <c r="C9" s="26" t="n">
        <f aca="false">SUM(C5:C8)</f>
        <v>116.599873333333</v>
      </c>
      <c r="D9" s="3" t="s">
        <v>269</v>
      </c>
    </row>
    <row r="10" customFormat="false" ht="15" hidden="false" customHeight="false" outlineLevel="0" collapsed="false">
      <c r="A10" s="32" t="s">
        <v>270</v>
      </c>
      <c r="B10" s="27" t="n">
        <f aca="false">(1+Supuestos!$B$24)*(B9+Supuestos!$B$42*(1+Supuestos!$B$43))/(1-(1+Supuestos!$B$24)*Supuestos!$B$41*(1+Supuestos!$B$43))</f>
        <v>221.56351070076</v>
      </c>
      <c r="C10" s="27" t="n">
        <f aca="false">(1+Supuestos!$B$24)*(C9+Supuestos!$B$42*(1+Supuestos!$B$43))/(1-(1+Supuestos!$B$24)*Supuestos!$B$41*(1+Supuestos!$B$43))</f>
        <v>179.934052945914</v>
      </c>
      <c r="D10" s="3" t="s">
        <v>271</v>
      </c>
    </row>
    <row r="11" customFormat="false" ht="15" hidden="false" customHeight="false" outlineLevel="0" collapsed="false">
      <c r="A11" s="7" t="s">
        <v>272</v>
      </c>
      <c r="B11" s="26" t="n">
        <f aca="false">'Costo unitario'!$B$14*(1+Supuestos!$B$25)/12</f>
        <v>911.12</v>
      </c>
      <c r="C11" s="26" t="n">
        <f aca="false">'Costo unitario'!$C$14*(1+Supuestos!$B$25)/12</f>
        <v>715.68</v>
      </c>
      <c r="D11" s="3" t="s">
        <v>273</v>
      </c>
    </row>
    <row r="12" customFormat="false" ht="15" hidden="false" customHeight="false" outlineLevel="0" collapsed="false">
      <c r="A12" s="32" t="s">
        <v>274</v>
      </c>
      <c r="B12" s="27" t="n">
        <f aca="false">(1+Supuestos!$B$24)*(B11+B9+Supuestos!$B$42*(1+Supuestos!$B$43))/(1-(1+Supuestos!$B$24)*Supuestos!$B$41*(1+Supuestos!$B$43))</f>
        <v>1573.77140908206</v>
      </c>
      <c r="C12" s="27" t="n">
        <f aca="false">(1+Supuestos!$B$24)*(C11+C9+Supuestos!$B$42*(1+Supuestos!$B$43))/(1-(1+Supuestos!$B$24)*Supuestos!$B$41*(1+Supuestos!$B$43))</f>
        <v>1242.08629273159</v>
      </c>
      <c r="D12" s="3" t="s">
        <v>275</v>
      </c>
    </row>
    <row r="13" customFormat="false" ht="15" hidden="false" customHeight="false" outlineLevel="0" collapsed="false">
      <c r="A13" s="7" t="s">
        <v>276</v>
      </c>
      <c r="B13" s="26" t="n">
        <f aca="false">Supuestos!$B$57*Supuestos!$B$58</f>
        <v>1700</v>
      </c>
      <c r="C13" s="26" t="n">
        <f aca="false">Supuestos!$B$57*Supuestos!$B$58</f>
        <v>1700</v>
      </c>
      <c r="D13" s="3" t="s">
        <v>277</v>
      </c>
    </row>
    <row r="14" customFormat="false" ht="15" hidden="false" customHeight="false" outlineLevel="0" collapsed="false">
      <c r="A14" s="7" t="s">
        <v>278</v>
      </c>
      <c r="B14" s="26" t="n">
        <f aca="false">B13*Supuestos!$B$59</f>
        <v>20400</v>
      </c>
      <c r="C14" s="26" t="n">
        <f aca="false">C13*Supuestos!$B$59</f>
        <v>20400</v>
      </c>
      <c r="D14" s="3" t="s">
        <v>279</v>
      </c>
    </row>
    <row r="15" customFormat="false" ht="15" hidden="false" customHeight="false" outlineLevel="0" collapsed="false">
      <c r="A15" s="32" t="s">
        <v>280</v>
      </c>
      <c r="B15" s="27" t="n">
        <f aca="false">B14-(12-Supuestos!$B$40)*Supuestos!$B$39</f>
        <v>14911</v>
      </c>
      <c r="C15" s="27" t="n">
        <f aca="false">C14-(12-Supuestos!$B$40)*Supuestos!$B$39</f>
        <v>14911</v>
      </c>
      <c r="D15" s="3" t="s">
        <v>281</v>
      </c>
    </row>
    <row r="16" customFormat="false" ht="15" hidden="false" customHeight="false" outlineLevel="0" collapsed="false">
      <c r="A16" s="7" t="s">
        <v>282</v>
      </c>
      <c r="B16" s="26" t="n">
        <f aca="false">B13*Supuestos!$B$60</f>
        <v>1020</v>
      </c>
      <c r="C16" s="26" t="n">
        <f aca="false">C13*Supuestos!$B$60</f>
        <v>1020</v>
      </c>
      <c r="D16" s="3" t="s">
        <v>283</v>
      </c>
    </row>
    <row r="17" customFormat="false" ht="15" hidden="false" customHeight="false" outlineLevel="0" collapsed="false">
      <c r="A17" s="32" t="s">
        <v>284</v>
      </c>
      <c r="B17" s="27" t="n">
        <f aca="false">Supuestos!$B$38</f>
        <v>13490</v>
      </c>
      <c r="C17" s="27" t="n">
        <f aca="false">Supuestos!$B$38</f>
        <v>13490</v>
      </c>
      <c r="D17" s="3" t="s">
        <v>285</v>
      </c>
    </row>
    <row r="18" customFormat="false" ht="15" hidden="false" customHeight="false" outlineLevel="0" collapsed="false">
      <c r="A18" s="32" t="s">
        <v>286</v>
      </c>
      <c r="B18" s="27" t="n">
        <f aca="false">Supuestos!$B$39</f>
        <v>499</v>
      </c>
      <c r="C18" s="27" t="n">
        <f aca="false">Supuestos!$B$39</f>
        <v>499</v>
      </c>
      <c r="D18" s="3" t="s">
        <v>285</v>
      </c>
    </row>
    <row r="19" customFormat="false" ht="15" hidden="false" customHeight="false" outlineLevel="0" collapsed="false">
      <c r="A19" s="7" t="s">
        <v>287</v>
      </c>
      <c r="B19" s="21" t="n">
        <f aca="false">1-'Costo unitario'!$B$14/B17</f>
        <v>0.324595997034841</v>
      </c>
      <c r="C19" s="21" t="n">
        <f aca="false">1-'Costo unitario'!$C$14/C17</f>
        <v>0.469473684210526</v>
      </c>
      <c r="D19" s="3" t="s">
        <v>288</v>
      </c>
    </row>
    <row r="20" customFormat="false" ht="15" hidden="false" customHeight="false" outlineLevel="0" collapsed="false">
      <c r="A20" s="7" t="s">
        <v>289</v>
      </c>
      <c r="B20" s="21" t="n">
        <f aca="false">B17/B4-1</f>
        <v>0.0575680794751827</v>
      </c>
      <c r="C20" s="21" t="n">
        <f aca="false">C17/C4-1</f>
        <v>0.346371882086168</v>
      </c>
      <c r="D20" s="3"/>
    </row>
    <row r="21" customFormat="false" ht="15" hidden="false" customHeight="false" outlineLevel="0" collapsed="false">
      <c r="A21" s="7" t="s">
        <v>290</v>
      </c>
      <c r="B21" s="21" t="n">
        <f aca="false">1-B17/B15</f>
        <v>0.0952987727181276</v>
      </c>
      <c r="C21" s="21" t="n">
        <f aca="false">1-C17/C15</f>
        <v>0.0952987727181276</v>
      </c>
      <c r="D21" s="3"/>
    </row>
    <row r="22" customFormat="false" ht="15" hidden="false" customHeight="false" outlineLevel="0" collapsed="false">
      <c r="A22" s="7" t="s">
        <v>291</v>
      </c>
      <c r="B22" s="26" t="n">
        <f aca="false">(Supuestos!$B$41*B18+Supuestos!$B$42)*(1+Supuestos!$B$43)</f>
        <v>24.841516</v>
      </c>
      <c r="C22" s="26" t="n">
        <f aca="false">(Supuestos!$B$41*C18+Supuestos!$B$42)*(1+Supuestos!$B$43)</f>
        <v>24.841516</v>
      </c>
      <c r="D22" s="3" t="s">
        <v>292</v>
      </c>
    </row>
    <row r="23" customFormat="false" ht="15" hidden="false" customHeight="false" outlineLevel="0" collapsed="false">
      <c r="A23" s="7" t="s">
        <v>293</v>
      </c>
      <c r="B23" s="21" t="n">
        <f aca="false">1-(B9+B22)/B18</f>
        <v>0.660337897127588</v>
      </c>
      <c r="C23" s="21" t="n">
        <f aca="false">1-(C9+C22)/C18</f>
        <v>0.716550321977288</v>
      </c>
      <c r="D23" s="3"/>
    </row>
    <row r="24" customFormat="false" ht="15" hidden="false" customHeight="false" outlineLevel="0" collapsed="false">
      <c r="A24" s="7" t="s">
        <v>294</v>
      </c>
      <c r="B24" s="26" t="n">
        <f aca="false">B17+(12-Supuestos!$B$40)*B18</f>
        <v>18979</v>
      </c>
      <c r="C24" s="26" t="n">
        <f aca="false">C17+(12-Supuestos!$B$40)*C18</f>
        <v>18979</v>
      </c>
      <c r="D24" s="3" t="s">
        <v>295</v>
      </c>
    </row>
    <row r="25" customFormat="false" ht="15" hidden="false" customHeight="false" outlineLevel="0" collapsed="false">
      <c r="A25" s="7" t="s">
        <v>296</v>
      </c>
      <c r="B25" s="33" t="n">
        <f aca="false">B24/B13</f>
        <v>11.1641176470588</v>
      </c>
      <c r="C25" s="33" t="n">
        <f aca="false">C24/C13</f>
        <v>11.1641176470588</v>
      </c>
      <c r="D25" s="3" t="s">
        <v>297</v>
      </c>
    </row>
    <row r="26" customFormat="false" ht="15" hidden="false" customHeight="false" outlineLevel="0" collapsed="false">
      <c r="A26" s="7" t="s">
        <v>298</v>
      </c>
      <c r="B26" s="26" t="n">
        <f aca="false">7990/6</f>
        <v>1331.66666666667</v>
      </c>
      <c r="C26" s="26" t="n">
        <f aca="false">7990/6</f>
        <v>1331.66666666667</v>
      </c>
      <c r="D26" s="3" t="s">
        <v>299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4" min="2" style="0" width="16"/>
    <col collapsed="false" customWidth="true" hidden="false" outlineLevel="0" max="5" min="5" style="0" width="46"/>
  </cols>
  <sheetData>
    <row r="1" customFormat="false" ht="16.15" hidden="false" customHeight="false" outlineLevel="0" collapsed="false">
      <c r="A1" s="1" t="s">
        <v>300</v>
      </c>
      <c r="B1" s="2"/>
      <c r="C1" s="2"/>
      <c r="D1" s="2"/>
      <c r="E1" s="2"/>
    </row>
    <row r="2" customFormat="false" ht="15" hidden="false" customHeight="false" outlineLevel="0" collapsed="false">
      <c r="A2" s="2"/>
      <c r="B2" s="2"/>
      <c r="C2" s="2"/>
      <c r="D2" s="2"/>
      <c r="E2" s="2"/>
    </row>
    <row r="3" customFormat="false" ht="15" hidden="false" customHeight="false" outlineLevel="0" collapsed="false">
      <c r="A3" s="4" t="s">
        <v>200</v>
      </c>
      <c r="B3" s="4" t="s">
        <v>3</v>
      </c>
      <c r="C3" s="4"/>
      <c r="D3" s="4"/>
      <c r="E3" s="4" t="s">
        <v>203</v>
      </c>
    </row>
    <row r="4" customFormat="false" ht="15" hidden="false" customHeight="false" outlineLevel="0" collapsed="false">
      <c r="A4" s="7" t="s">
        <v>301</v>
      </c>
      <c r="B4" s="26" t="n">
        <f aca="false">Supuestos!$B$6*'Costo unitario'!$B$7</f>
        <v>6508</v>
      </c>
      <c r="C4" s="2"/>
      <c r="D4" s="2"/>
      <c r="E4" s="3" t="s">
        <v>302</v>
      </c>
    </row>
    <row r="5" customFormat="false" ht="15" hidden="false" customHeight="false" outlineLevel="0" collapsed="false">
      <c r="A5" s="7" t="s">
        <v>303</v>
      </c>
      <c r="B5" s="26" t="n">
        <f aca="false">B4*Supuestos!$B$22</f>
        <v>976.2</v>
      </c>
      <c r="C5" s="2"/>
      <c r="D5" s="2"/>
      <c r="E5" s="3" t="s">
        <v>304</v>
      </c>
    </row>
    <row r="6" customFormat="false" ht="15" hidden="false" customHeight="false" outlineLevel="0" collapsed="false">
      <c r="A6" s="7" t="s">
        <v>305</v>
      </c>
      <c r="B6" s="26" t="n">
        <f aca="false">(Supuestos!$B$41*Supuestos!$B$38+Supuestos!$B$42)*(1+Supuestos!$B$43)</f>
        <v>550.76916</v>
      </c>
      <c r="C6" s="2"/>
      <c r="D6" s="2"/>
      <c r="E6" s="3" t="s">
        <v>292</v>
      </c>
    </row>
    <row r="7" customFormat="false" ht="15" hidden="false" customHeight="false" outlineLevel="0" collapsed="false">
      <c r="A7" s="7" t="s">
        <v>306</v>
      </c>
      <c r="B7" s="26" t="n">
        <f aca="false">Supuestos!$B$44</f>
        <v>250</v>
      </c>
      <c r="C7" s="2"/>
      <c r="D7" s="2"/>
      <c r="E7" s="3"/>
    </row>
    <row r="8" customFormat="false" ht="15" hidden="false" customHeight="false" outlineLevel="0" collapsed="false">
      <c r="A8" s="7" t="s">
        <v>307</v>
      </c>
      <c r="B8" s="26" t="n">
        <f aca="false">SUM(B4:B7)</f>
        <v>8284.96916</v>
      </c>
      <c r="C8" s="2"/>
      <c r="D8" s="2"/>
      <c r="E8" s="3" t="s">
        <v>308</v>
      </c>
    </row>
    <row r="9" customFormat="false" ht="15" hidden="false" customHeight="false" outlineLevel="0" collapsed="false">
      <c r="A9" s="32" t="s">
        <v>309</v>
      </c>
      <c r="B9" s="27" t="n">
        <f aca="false">Supuestos!$B$38-B8</f>
        <v>5205.03084</v>
      </c>
      <c r="C9" s="2"/>
      <c r="D9" s="2"/>
      <c r="E9" s="3" t="s">
        <v>310</v>
      </c>
    </row>
    <row r="10" customFormat="false" ht="15" hidden="false" customHeight="false" outlineLevel="0" collapsed="false">
      <c r="A10" s="7" t="s">
        <v>311</v>
      </c>
      <c r="B10" s="26" t="n">
        <f aca="false">IA!$B$9+Supuestos!$B$46*Supuestos!$B$15+Supuestos!$B$48*Supuestos!$B$47/3+Precio!$B$22</f>
        <v>122.741389333333</v>
      </c>
      <c r="C10" s="2"/>
      <c r="D10" s="2"/>
      <c r="E10" s="3" t="s">
        <v>312</v>
      </c>
    </row>
    <row r="11" customFormat="false" ht="15" hidden="false" customHeight="false" outlineLevel="0" collapsed="false">
      <c r="A11" s="7" t="s">
        <v>313</v>
      </c>
      <c r="B11" s="26" t="n">
        <f aca="false">Supuestos!$B$39-B10</f>
        <v>376.258610666667</v>
      </c>
      <c r="C11" s="2"/>
      <c r="D11" s="2"/>
      <c r="E11" s="3"/>
    </row>
    <row r="12" customFormat="false" ht="15" hidden="false" customHeight="false" outlineLevel="0" collapsed="false">
      <c r="A12" s="7" t="s">
        <v>314</v>
      </c>
      <c r="B12" s="33" t="n">
        <f aca="false">Flujo!$B$62/Supuestos!$B$7</f>
        <v>4.5</v>
      </c>
      <c r="C12" s="2"/>
      <c r="D12" s="2"/>
      <c r="E12" s="3" t="s">
        <v>315</v>
      </c>
    </row>
    <row r="13" customFormat="false" ht="15" hidden="false" customHeight="false" outlineLevel="0" collapsed="false">
      <c r="A13" s="7" t="s">
        <v>316</v>
      </c>
      <c r="B13" s="26" t="n">
        <f aca="false">B11*B12</f>
        <v>1693.163748</v>
      </c>
      <c r="C13" s="2"/>
      <c r="D13" s="2"/>
      <c r="E13" s="3"/>
    </row>
    <row r="14" customFormat="false" ht="15" hidden="false" customHeight="false" outlineLevel="0" collapsed="false">
      <c r="A14" s="7" t="s">
        <v>317</v>
      </c>
      <c r="B14" s="26" t="n">
        <f aca="false">-(IA!$B$9+Supuestos!$B$46*Supuestos!$B$15+Supuestos!$B$48*Supuestos!$B$47/3)*Supuestos!$B$40</f>
        <v>-97.8998733333333</v>
      </c>
      <c r="C14" s="2"/>
      <c r="D14" s="2"/>
      <c r="E14" s="3" t="s">
        <v>318</v>
      </c>
    </row>
    <row r="15" customFormat="false" ht="15" hidden="false" customHeight="false" outlineLevel="0" collapsed="false">
      <c r="A15" s="32" t="s">
        <v>319</v>
      </c>
      <c r="B15" s="27" t="n">
        <f aca="false">B9+B13+B14</f>
        <v>6800.29471466667</v>
      </c>
      <c r="C15" s="2"/>
      <c r="D15" s="2"/>
      <c r="E15" s="3" t="s">
        <v>320</v>
      </c>
    </row>
    <row r="16" customFormat="false" ht="15" hidden="false" customHeight="false" outlineLevel="0" collapsed="false">
      <c r="A16" s="2"/>
      <c r="B16" s="2"/>
      <c r="C16" s="2"/>
      <c r="D16" s="2"/>
      <c r="E16" s="2"/>
    </row>
    <row r="17" customFormat="false" ht="15" hidden="false" customHeight="false" outlineLevel="0" collapsed="false">
      <c r="A17" s="7" t="s">
        <v>321</v>
      </c>
      <c r="B17" s="26" t="n">
        <f aca="false">12*Supuestos!$B$27*Supuestos!$B$5</f>
        <v>5610</v>
      </c>
      <c r="C17" s="2"/>
      <c r="D17" s="2"/>
      <c r="E17" s="3"/>
    </row>
    <row r="18" customFormat="false" ht="15" hidden="false" customHeight="false" outlineLevel="0" collapsed="false">
      <c r="A18" s="7" t="s">
        <v>322</v>
      </c>
      <c r="B18" s="26" t="n">
        <f aca="false">(Supuestos!$B$52+Supuestos!$B$53)*Supuestos!$B$5+Supuestos!$B$54</f>
        <v>2918.8</v>
      </c>
      <c r="C18" s="2"/>
      <c r="D18" s="2"/>
      <c r="E18" s="3"/>
    </row>
    <row r="19" customFormat="false" ht="15" hidden="false" customHeight="false" outlineLevel="0" collapsed="false">
      <c r="A19" s="7" t="s">
        <v>323</v>
      </c>
      <c r="B19" s="26" t="n">
        <f aca="false">Supuestos!$B$55</f>
        <v>3000</v>
      </c>
      <c r="C19" s="2"/>
      <c r="D19" s="2"/>
      <c r="E19" s="3"/>
    </row>
    <row r="20" customFormat="false" ht="15" hidden="false" customHeight="false" outlineLevel="0" collapsed="false">
      <c r="A20" s="7" t="s">
        <v>324</v>
      </c>
      <c r="B20" s="26" t="n">
        <f aca="false">Supuestos!$B$6*'Costo unitario'!$B$7</f>
        <v>6508</v>
      </c>
      <c r="C20" s="2"/>
      <c r="D20" s="2"/>
      <c r="E20" s="3"/>
    </row>
    <row r="21" customFormat="false" ht="15" hidden="false" customHeight="false" outlineLevel="0" collapsed="false">
      <c r="A21" s="7" t="s">
        <v>325</v>
      </c>
      <c r="B21" s="26" t="n">
        <f aca="false">12*Supuestos!$B$49</f>
        <v>12000</v>
      </c>
      <c r="C21" s="2"/>
      <c r="D21" s="2"/>
      <c r="E21" s="3"/>
    </row>
    <row r="22" customFormat="false" ht="15" hidden="false" customHeight="false" outlineLevel="0" collapsed="false">
      <c r="A22" s="7" t="s">
        <v>326</v>
      </c>
      <c r="B22" s="26" t="n">
        <f aca="false">Supuestos!$B$51+12*Supuestos!$B$50</f>
        <v>17000</v>
      </c>
      <c r="C22" s="2"/>
      <c r="D22" s="2"/>
      <c r="E22" s="3"/>
    </row>
    <row r="23" customFormat="false" ht="15" hidden="false" customHeight="false" outlineLevel="0" collapsed="false">
      <c r="A23" s="32" t="s">
        <v>327</v>
      </c>
      <c r="B23" s="27" t="n">
        <f aca="false">SUM(B17:B22)</f>
        <v>47036.8</v>
      </c>
      <c r="C23" s="2"/>
      <c r="D23" s="2"/>
      <c r="E23" s="3"/>
    </row>
    <row r="24" customFormat="false" ht="15" hidden="false" customHeight="false" outlineLevel="0" collapsed="false">
      <c r="A24" s="7" t="s">
        <v>328</v>
      </c>
      <c r="B24" s="26" t="n">
        <f aca="false">Supuestos!$B$18*52*Supuestos!$B$15</f>
        <v>83200</v>
      </c>
      <c r="C24" s="2"/>
      <c r="D24" s="2"/>
      <c r="E24" s="3" t="s">
        <v>329</v>
      </c>
    </row>
    <row r="25" customFormat="false" ht="15" hidden="false" customHeight="false" outlineLevel="0" collapsed="false">
      <c r="A25" s="32" t="s">
        <v>330</v>
      </c>
      <c r="B25" s="27" t="n">
        <f aca="false">B23+B24</f>
        <v>130236.8</v>
      </c>
      <c r="C25" s="2"/>
      <c r="D25" s="2"/>
      <c r="E25" s="3"/>
    </row>
    <row r="26" customFormat="false" ht="15" hidden="false" customHeight="false" outlineLevel="0" collapsed="false">
      <c r="A26" s="7" t="s">
        <v>331</v>
      </c>
      <c r="B26" s="26" t="n">
        <f aca="false">Desarrollo!$K$19</f>
        <v>908231.3025</v>
      </c>
      <c r="C26" s="2"/>
      <c r="D26" s="2"/>
      <c r="E26" s="3" t="s">
        <v>332</v>
      </c>
    </row>
    <row r="27" customFormat="false" ht="15" hidden="false" customHeight="false" outlineLevel="0" collapsed="false">
      <c r="A27" s="32" t="s">
        <v>333</v>
      </c>
      <c r="B27" s="27" t="n">
        <f aca="false">B25+B26</f>
        <v>1038468.1025</v>
      </c>
      <c r="C27" s="2"/>
      <c r="D27" s="2"/>
      <c r="E27" s="3"/>
    </row>
    <row r="28" customFormat="false" ht="15" hidden="false" customHeight="false" outlineLevel="0" collapsed="false">
      <c r="A28" s="7" t="s">
        <v>334</v>
      </c>
      <c r="B28" s="26" t="n">
        <f aca="false">Desarrollo!$K$22</f>
        <v>62864.865</v>
      </c>
      <c r="C28" s="2"/>
      <c r="D28" s="2"/>
      <c r="E28" s="3" t="s">
        <v>335</v>
      </c>
    </row>
    <row r="29" customFormat="false" ht="15" hidden="false" customHeight="false" outlineLevel="0" collapsed="false">
      <c r="A29" s="32" t="s">
        <v>336</v>
      </c>
      <c r="B29" s="27" t="n">
        <f aca="false">B23+B28</f>
        <v>109901.665</v>
      </c>
      <c r="C29" s="2"/>
      <c r="D29" s="2"/>
      <c r="E29" s="3"/>
    </row>
    <row r="30" customFormat="false" ht="15" hidden="false" customHeight="false" outlineLevel="0" collapsed="false">
      <c r="A30" s="2"/>
      <c r="B30" s="2"/>
      <c r="C30" s="2"/>
      <c r="D30" s="2"/>
      <c r="E30" s="2"/>
    </row>
    <row r="31" customFormat="false" ht="15" hidden="false" customHeight="false" outlineLevel="0" collapsed="false">
      <c r="A31" s="32" t="s">
        <v>337</v>
      </c>
      <c r="B31" s="34" t="n">
        <f aca="false">B23/B15</f>
        <v>6.91687669043997</v>
      </c>
      <c r="C31" s="35" t="n">
        <f aca="false">ROUNDUP(B31,0)</f>
        <v>7</v>
      </c>
      <c r="D31" s="36" t="n">
        <f aca="false">C31*Supuestos!$B$6</f>
        <v>28</v>
      </c>
      <c r="E31" s="3" t="s">
        <v>338</v>
      </c>
    </row>
    <row r="32" customFormat="false" ht="15" hidden="false" customHeight="false" outlineLevel="0" collapsed="false">
      <c r="A32" s="32" t="s">
        <v>339</v>
      </c>
      <c r="B32" s="34" t="n">
        <f aca="false">B29/B15</f>
        <v>16.1613091213484</v>
      </c>
      <c r="C32" s="35" t="n">
        <f aca="false">ROUNDUP(B32,0)</f>
        <v>17</v>
      </c>
      <c r="D32" s="36" t="n">
        <f aca="false">C32*Supuestos!$B$6</f>
        <v>68</v>
      </c>
      <c r="E32" s="3"/>
    </row>
    <row r="33" customFormat="false" ht="15" hidden="false" customHeight="false" outlineLevel="0" collapsed="false">
      <c r="A33" s="32" t="s">
        <v>340</v>
      </c>
      <c r="B33" s="34" t="n">
        <f aca="false">B25/B15</f>
        <v>19.1516405486235</v>
      </c>
      <c r="C33" s="35" t="n">
        <f aca="false">ROUNDUP(B33,0)</f>
        <v>20</v>
      </c>
      <c r="D33" s="36" t="n">
        <f aca="false">C33*Supuestos!$B$6</f>
        <v>80</v>
      </c>
      <c r="E33" s="3"/>
    </row>
    <row r="34" customFormat="false" ht="15" hidden="false" customHeight="false" outlineLevel="0" collapsed="false">
      <c r="A34" s="32" t="s">
        <v>341</v>
      </c>
      <c r="B34" s="34" t="n">
        <f aca="false">B27/B15</f>
        <v>152.709278946435</v>
      </c>
      <c r="C34" s="35" t="n">
        <f aca="false">ROUNDUP(B34,0)</f>
        <v>153</v>
      </c>
      <c r="D34" s="36" t="n">
        <f aca="false">C34*Supuestos!$B$6</f>
        <v>612</v>
      </c>
      <c r="E34" s="3"/>
    </row>
    <row r="35" customFormat="false" ht="15" hidden="false" customHeight="false" outlineLevel="0" collapsed="false">
      <c r="A35" s="32" t="s">
        <v>342</v>
      </c>
      <c r="B35" s="34" t="n">
        <f aca="false">(B25+B26/3)/B15</f>
        <v>63.670853347894</v>
      </c>
      <c r="C35" s="35" t="n">
        <f aca="false">ROUNDUP(B35,0)</f>
        <v>64</v>
      </c>
      <c r="D35" s="36" t="n">
        <f aca="false">C35*Supuestos!$B$6</f>
        <v>256</v>
      </c>
      <c r="E35" s="3"/>
    </row>
    <row r="36" customFormat="false" ht="15" hidden="false" customHeight="false" outlineLevel="0" collapsed="false">
      <c r="A36" s="2"/>
      <c r="B36" s="2"/>
      <c r="C36" s="2"/>
      <c r="D36" s="2"/>
      <c r="E36" s="2"/>
    </row>
    <row r="37" customFormat="false" ht="15" hidden="false" customHeight="false" outlineLevel="0" collapsed="false">
      <c r="A37" s="7" t="s">
        <v>343</v>
      </c>
      <c r="B37" s="33" t="n">
        <f aca="false">10000/B15</f>
        <v>1.47052450218552</v>
      </c>
      <c r="C37" s="2"/>
      <c r="D37" s="2"/>
      <c r="E37" s="3" t="s">
        <v>344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6" min="2" style="0" width="11"/>
    <col collapsed="false" customWidth="true" hidden="false" outlineLevel="0" max="27" min="27" style="0" width="3"/>
    <col collapsed="false" customWidth="true" hidden="false" outlineLevel="0" max="28" min="28" style="0" width="50"/>
  </cols>
  <sheetData>
    <row r="1" customFormat="false" ht="16.15" hidden="false" customHeight="false" outlineLevel="0" collapsed="false">
      <c r="A1" s="1" t="s">
        <v>345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" hidden="false" customHeight="false" outlineLevel="0" collapsed="false">
      <c r="A2" s="3" t="s">
        <v>346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4" t="s">
        <v>200</v>
      </c>
      <c r="B3" s="4" t="s">
        <v>347</v>
      </c>
      <c r="C3" s="4" t="s">
        <v>348</v>
      </c>
      <c r="D3" s="4" t="s">
        <v>349</v>
      </c>
      <c r="E3" s="4" t="s">
        <v>350</v>
      </c>
      <c r="F3" s="4" t="s">
        <v>351</v>
      </c>
      <c r="G3" s="4" t="s">
        <v>352</v>
      </c>
      <c r="H3" s="4" t="s">
        <v>353</v>
      </c>
      <c r="I3" s="4" t="s">
        <v>354</v>
      </c>
      <c r="J3" s="4" t="s">
        <v>355</v>
      </c>
      <c r="K3" s="4" t="s">
        <v>356</v>
      </c>
      <c r="L3" s="4" t="s">
        <v>357</v>
      </c>
      <c r="M3" s="4" t="s">
        <v>358</v>
      </c>
      <c r="N3" s="4" t="s">
        <v>359</v>
      </c>
      <c r="O3" s="4" t="s">
        <v>360</v>
      </c>
      <c r="P3" s="4" t="s">
        <v>361</v>
      </c>
      <c r="Q3" s="4" t="s">
        <v>362</v>
      </c>
      <c r="R3" s="4" t="s">
        <v>363</v>
      </c>
      <c r="S3" s="4" t="s">
        <v>364</v>
      </c>
      <c r="T3" s="4" t="s">
        <v>365</v>
      </c>
      <c r="U3" s="4" t="s">
        <v>366</v>
      </c>
      <c r="V3" s="4" t="s">
        <v>367</v>
      </c>
      <c r="W3" s="4" t="s">
        <v>368</v>
      </c>
      <c r="X3" s="4" t="s">
        <v>369</v>
      </c>
      <c r="Y3" s="4" t="s">
        <v>370</v>
      </c>
      <c r="Z3" s="4" t="s">
        <v>371</v>
      </c>
    </row>
    <row r="4" customFormat="false" ht="15" hidden="false" customHeight="false" outlineLevel="0" collapsed="false">
      <c r="A4" s="9" t="s">
        <v>372</v>
      </c>
      <c r="B4" s="9" t="n">
        <v>0</v>
      </c>
      <c r="C4" s="9" t="n">
        <v>1</v>
      </c>
      <c r="D4" s="9" t="n">
        <v>2</v>
      </c>
      <c r="E4" s="9" t="n">
        <v>3</v>
      </c>
      <c r="F4" s="9" t="n">
        <v>4</v>
      </c>
      <c r="G4" s="9" t="n">
        <v>5</v>
      </c>
      <c r="H4" s="9" t="n">
        <v>6</v>
      </c>
      <c r="I4" s="9" t="n">
        <v>7</v>
      </c>
      <c r="J4" s="9" t="n">
        <v>8</v>
      </c>
      <c r="K4" s="9" t="n">
        <v>9</v>
      </c>
      <c r="L4" s="9" t="n">
        <v>10</v>
      </c>
      <c r="M4" s="9" t="n">
        <v>11</v>
      </c>
      <c r="N4" s="9" t="n">
        <v>12</v>
      </c>
      <c r="O4" s="9" t="n">
        <v>13</v>
      </c>
      <c r="P4" s="9" t="n">
        <v>14</v>
      </c>
      <c r="Q4" s="9" t="n">
        <v>15</v>
      </c>
      <c r="R4" s="9" t="n">
        <v>16</v>
      </c>
      <c r="S4" s="9" t="n">
        <v>17</v>
      </c>
      <c r="T4" s="9" t="n">
        <v>18</v>
      </c>
      <c r="U4" s="9" t="n">
        <v>19</v>
      </c>
      <c r="V4" s="9" t="n">
        <v>20</v>
      </c>
      <c r="W4" s="9" t="n">
        <v>21</v>
      </c>
      <c r="X4" s="9" t="n">
        <v>22</v>
      </c>
      <c r="Y4" s="9" t="n">
        <v>23</v>
      </c>
      <c r="Z4" s="9" t="n">
        <v>24</v>
      </c>
    </row>
    <row r="5" customFormat="false" ht="15" hidden="false" customHeight="false" outlineLevel="0" collapsed="false">
      <c r="A5" s="9" t="s">
        <v>373</v>
      </c>
      <c r="B5" s="37" t="n">
        <f aca="false">IF(B4=0,0,IF(B4&lt;=12,1,2))</f>
        <v>0</v>
      </c>
      <c r="C5" s="37" t="n">
        <f aca="false">IF(C4=0,0,IF(C4&lt;=12,1,2))</f>
        <v>1</v>
      </c>
      <c r="D5" s="37" t="n">
        <f aca="false">IF(D4=0,0,IF(D4&lt;=12,1,2))</f>
        <v>1</v>
      </c>
      <c r="E5" s="37" t="n">
        <f aca="false">IF(E4=0,0,IF(E4&lt;=12,1,2))</f>
        <v>1</v>
      </c>
      <c r="F5" s="37" t="n">
        <f aca="false">IF(F4=0,0,IF(F4&lt;=12,1,2))</f>
        <v>1</v>
      </c>
      <c r="G5" s="37" t="n">
        <f aca="false">IF(G4=0,0,IF(G4&lt;=12,1,2))</f>
        <v>1</v>
      </c>
      <c r="H5" s="37" t="n">
        <f aca="false">IF(H4=0,0,IF(H4&lt;=12,1,2))</f>
        <v>1</v>
      </c>
      <c r="I5" s="37" t="n">
        <f aca="false">IF(I4=0,0,IF(I4&lt;=12,1,2))</f>
        <v>1</v>
      </c>
      <c r="J5" s="37" t="n">
        <f aca="false">IF(J4=0,0,IF(J4&lt;=12,1,2))</f>
        <v>1</v>
      </c>
      <c r="K5" s="37" t="n">
        <f aca="false">IF(K4=0,0,IF(K4&lt;=12,1,2))</f>
        <v>1</v>
      </c>
      <c r="L5" s="37" t="n">
        <f aca="false">IF(L4=0,0,IF(L4&lt;=12,1,2))</f>
        <v>1</v>
      </c>
      <c r="M5" s="37" t="n">
        <f aca="false">IF(M4=0,0,IF(M4&lt;=12,1,2))</f>
        <v>1</v>
      </c>
      <c r="N5" s="37" t="n">
        <f aca="false">IF(N4=0,0,IF(N4&lt;=12,1,2))</f>
        <v>1</v>
      </c>
      <c r="O5" s="37" t="n">
        <f aca="false">IF(O4=0,0,IF(O4&lt;=12,1,2))</f>
        <v>2</v>
      </c>
      <c r="P5" s="37" t="n">
        <f aca="false">IF(P4=0,0,IF(P4&lt;=12,1,2))</f>
        <v>2</v>
      </c>
      <c r="Q5" s="37" t="n">
        <f aca="false">IF(Q4=0,0,IF(Q4&lt;=12,1,2))</f>
        <v>2</v>
      </c>
      <c r="R5" s="37" t="n">
        <f aca="false">IF(R4=0,0,IF(R4&lt;=12,1,2))</f>
        <v>2</v>
      </c>
      <c r="S5" s="37" t="n">
        <f aca="false">IF(S4=0,0,IF(S4&lt;=12,1,2))</f>
        <v>2</v>
      </c>
      <c r="T5" s="37" t="n">
        <f aca="false">IF(T4=0,0,IF(T4&lt;=12,1,2))</f>
        <v>2</v>
      </c>
      <c r="U5" s="37" t="n">
        <f aca="false">IF(U4=0,0,IF(U4&lt;=12,1,2))</f>
        <v>2</v>
      </c>
      <c r="V5" s="37" t="n">
        <f aca="false">IF(V4=0,0,IF(V4&lt;=12,1,2))</f>
        <v>2</v>
      </c>
      <c r="W5" s="37" t="n">
        <f aca="false">IF(W4=0,0,IF(W4&lt;=12,1,2))</f>
        <v>2</v>
      </c>
      <c r="X5" s="37" t="n">
        <f aca="false">IF(X4=0,0,IF(X4&lt;=12,1,2))</f>
        <v>2</v>
      </c>
      <c r="Y5" s="37" t="n">
        <f aca="false">IF(Y4=0,0,IF(Y4&lt;=12,1,2))</f>
        <v>2</v>
      </c>
      <c r="Z5" s="37" t="n">
        <f aca="false">IF(Z4=0,0,IF(Z4&lt;=12,1,2))</f>
        <v>2</v>
      </c>
    </row>
    <row r="6" customFormat="false" ht="15" hidden="false" customHeight="false" outlineLevel="0" collapsed="false">
      <c r="A6" s="9" t="s">
        <v>374</v>
      </c>
      <c r="B6" s="28" t="n">
        <f aca="false">0</f>
        <v>0</v>
      </c>
      <c r="C6" s="28" t="n">
        <f aca="false">0</f>
        <v>0</v>
      </c>
      <c r="D6" s="28" t="n">
        <f aca="false">0</f>
        <v>0</v>
      </c>
      <c r="E6" s="28" t="n">
        <f aca="false">ROUND(Supuestos!$B$7*1/10,0)-ROUND(Supuestos!$B$7*0/10,0)</f>
        <v>1</v>
      </c>
      <c r="F6" s="28" t="n">
        <f aca="false">ROUND(Supuestos!$B$7*2/10,0)-ROUND(Supuestos!$B$7*1/10,0)</f>
        <v>1</v>
      </c>
      <c r="G6" s="28" t="n">
        <f aca="false">ROUND(Supuestos!$B$7*3/10,0)-ROUND(Supuestos!$B$7*2/10,0)</f>
        <v>1</v>
      </c>
      <c r="H6" s="28" t="n">
        <f aca="false">ROUND(Supuestos!$B$7*4/10,0)-ROUND(Supuestos!$B$7*3/10,0)</f>
        <v>1</v>
      </c>
      <c r="I6" s="28" t="n">
        <f aca="false">ROUND(Supuestos!$B$7*5/10,0)-ROUND(Supuestos!$B$7*4/10,0)</f>
        <v>1</v>
      </c>
      <c r="J6" s="28" t="n">
        <f aca="false">ROUND(Supuestos!$B$7*6/10,0)-ROUND(Supuestos!$B$7*5/10,0)</f>
        <v>1</v>
      </c>
      <c r="K6" s="28" t="n">
        <f aca="false">ROUND(Supuestos!$B$7*7/10,0)-ROUND(Supuestos!$B$7*6/10,0)</f>
        <v>1</v>
      </c>
      <c r="L6" s="28" t="n">
        <f aca="false">ROUND(Supuestos!$B$7*8/10,0)-ROUND(Supuestos!$B$7*7/10,0)</f>
        <v>1</v>
      </c>
      <c r="M6" s="28" t="n">
        <f aca="false">ROUND(Supuestos!$B$7*9/10,0)-ROUND(Supuestos!$B$7*8/10,0)</f>
        <v>1</v>
      </c>
      <c r="N6" s="28" t="n">
        <f aca="false">ROUND(Supuestos!$B$7*10/10,0)-ROUND(Supuestos!$B$7*9/10,0)</f>
        <v>1</v>
      </c>
      <c r="O6" s="28" t="n">
        <f aca="false">ROUND(Supuestos!$B$8*1/12,0)-ROUND(Supuestos!$B$8*0/12,0)</f>
        <v>2</v>
      </c>
      <c r="P6" s="28" t="n">
        <f aca="false">ROUND(Supuestos!$B$8*2/12,0)-ROUND(Supuestos!$B$8*1/12,0)</f>
        <v>2</v>
      </c>
      <c r="Q6" s="28" t="n">
        <f aca="false">ROUND(Supuestos!$B$8*3/12,0)-ROUND(Supuestos!$B$8*2/12,0)</f>
        <v>2</v>
      </c>
      <c r="R6" s="28" t="n">
        <f aca="false">ROUND(Supuestos!$B$8*4/12,0)-ROUND(Supuestos!$B$8*3/12,0)</f>
        <v>2</v>
      </c>
      <c r="S6" s="28" t="n">
        <f aca="false">ROUND(Supuestos!$B$8*5/12,0)-ROUND(Supuestos!$B$8*4/12,0)</f>
        <v>2</v>
      </c>
      <c r="T6" s="28" t="n">
        <f aca="false">ROUND(Supuestos!$B$8*6/12,0)-ROUND(Supuestos!$B$8*5/12,0)</f>
        <v>3</v>
      </c>
      <c r="U6" s="28" t="n">
        <f aca="false">ROUND(Supuestos!$B$8*7/12,0)-ROUND(Supuestos!$B$8*6/12,0)</f>
        <v>2</v>
      </c>
      <c r="V6" s="28" t="n">
        <f aca="false">ROUND(Supuestos!$B$8*8/12,0)-ROUND(Supuestos!$B$8*7/12,0)</f>
        <v>2</v>
      </c>
      <c r="W6" s="28" t="n">
        <f aca="false">ROUND(Supuestos!$B$8*9/12,0)-ROUND(Supuestos!$B$8*8/12,0)</f>
        <v>2</v>
      </c>
      <c r="X6" s="28" t="n">
        <f aca="false">ROUND(Supuestos!$B$8*10/12,0)-ROUND(Supuestos!$B$8*9/12,0)</f>
        <v>2</v>
      </c>
      <c r="Y6" s="28" t="n">
        <f aca="false">ROUND(Supuestos!$B$8*11/12,0)-ROUND(Supuestos!$B$8*10/12,0)</f>
        <v>2</v>
      </c>
      <c r="Z6" s="28" t="n">
        <f aca="false">ROUND(Supuestos!$B$8*12/12,0)-ROUND(Supuestos!$B$8*11/12,0)</f>
        <v>2</v>
      </c>
    </row>
    <row r="7" customFormat="false" ht="15" hidden="false" customHeight="false" outlineLevel="0" collapsed="false">
      <c r="A7" s="9" t="s">
        <v>375</v>
      </c>
      <c r="B7" s="28" t="n">
        <f aca="false">B6</f>
        <v>0</v>
      </c>
      <c r="C7" s="28" t="n">
        <f aca="false">B7+C6</f>
        <v>0</v>
      </c>
      <c r="D7" s="28" t="n">
        <f aca="false">C7+D6</f>
        <v>0</v>
      </c>
      <c r="E7" s="28" t="n">
        <f aca="false">D7+E6</f>
        <v>1</v>
      </c>
      <c r="F7" s="28" t="n">
        <f aca="false">E7+F6</f>
        <v>2</v>
      </c>
      <c r="G7" s="28" t="n">
        <f aca="false">F7+G6</f>
        <v>3</v>
      </c>
      <c r="H7" s="28" t="n">
        <f aca="false">G7+H6</f>
        <v>4</v>
      </c>
      <c r="I7" s="28" t="n">
        <f aca="false">H7+I6</f>
        <v>5</v>
      </c>
      <c r="J7" s="28" t="n">
        <f aca="false">I7+J6</f>
        <v>6</v>
      </c>
      <c r="K7" s="28" t="n">
        <f aca="false">J7+K6</f>
        <v>7</v>
      </c>
      <c r="L7" s="28" t="n">
        <f aca="false">K7+L6</f>
        <v>8</v>
      </c>
      <c r="M7" s="28" t="n">
        <f aca="false">L7+M6</f>
        <v>9</v>
      </c>
      <c r="N7" s="28" t="n">
        <f aca="false">M7+N6</f>
        <v>10</v>
      </c>
      <c r="O7" s="28" t="n">
        <f aca="false">N7+O6</f>
        <v>12</v>
      </c>
      <c r="P7" s="28" t="n">
        <f aca="false">O7+P6</f>
        <v>14</v>
      </c>
      <c r="Q7" s="28" t="n">
        <f aca="false">P7+Q6</f>
        <v>16</v>
      </c>
      <c r="R7" s="28" t="n">
        <f aca="false">Q7+R6</f>
        <v>18</v>
      </c>
      <c r="S7" s="28" t="n">
        <f aca="false">R7+S6</f>
        <v>20</v>
      </c>
      <c r="T7" s="28" t="n">
        <f aca="false">S7+T6</f>
        <v>23</v>
      </c>
      <c r="U7" s="28" t="n">
        <f aca="false">T7+U6</f>
        <v>25</v>
      </c>
      <c r="V7" s="28" t="n">
        <f aca="false">U7+V6</f>
        <v>27</v>
      </c>
      <c r="W7" s="28" t="n">
        <f aca="false">V7+W6</f>
        <v>29</v>
      </c>
      <c r="X7" s="28" t="n">
        <f aca="false">W7+X6</f>
        <v>31</v>
      </c>
      <c r="Y7" s="28" t="n">
        <f aca="false">X7+Y6</f>
        <v>33</v>
      </c>
      <c r="Z7" s="28" t="n">
        <f aca="false">Y7+Z6</f>
        <v>35</v>
      </c>
    </row>
    <row r="8" customFormat="false" ht="15" hidden="false" customHeight="false" outlineLevel="0" collapsed="false">
      <c r="A8" s="9" t="s">
        <v>376</v>
      </c>
      <c r="B8" s="28" t="n">
        <f aca="false">0</f>
        <v>0</v>
      </c>
      <c r="C8" s="28" t="n">
        <f aca="false">B7</f>
        <v>0</v>
      </c>
      <c r="D8" s="28" t="n">
        <f aca="false">C7</f>
        <v>0</v>
      </c>
      <c r="E8" s="28" t="n">
        <f aca="false">D7</f>
        <v>0</v>
      </c>
      <c r="F8" s="28" t="n">
        <f aca="false">E7</f>
        <v>1</v>
      </c>
      <c r="G8" s="28" t="n">
        <f aca="false">F7</f>
        <v>2</v>
      </c>
      <c r="H8" s="28" t="n">
        <f aca="false">G7</f>
        <v>3</v>
      </c>
      <c r="I8" s="28" t="n">
        <f aca="false">H7</f>
        <v>4</v>
      </c>
      <c r="J8" s="28" t="n">
        <f aca="false">I7</f>
        <v>5</v>
      </c>
      <c r="K8" s="28" t="n">
        <f aca="false">J7</f>
        <v>6</v>
      </c>
      <c r="L8" s="28" t="n">
        <f aca="false">K7</f>
        <v>7</v>
      </c>
      <c r="M8" s="28" t="n">
        <f aca="false">L7</f>
        <v>8</v>
      </c>
      <c r="N8" s="28" t="n">
        <f aca="false">M7</f>
        <v>9</v>
      </c>
      <c r="O8" s="28" t="n">
        <f aca="false">N7</f>
        <v>10</v>
      </c>
      <c r="P8" s="28" t="n">
        <f aca="false">O7</f>
        <v>12</v>
      </c>
      <c r="Q8" s="28" t="n">
        <f aca="false">P7</f>
        <v>14</v>
      </c>
      <c r="R8" s="28" t="n">
        <f aca="false">Q7</f>
        <v>16</v>
      </c>
      <c r="S8" s="28" t="n">
        <f aca="false">R7</f>
        <v>18</v>
      </c>
      <c r="T8" s="28" t="n">
        <f aca="false">S7</f>
        <v>20</v>
      </c>
      <c r="U8" s="28" t="n">
        <f aca="false">T7</f>
        <v>23</v>
      </c>
      <c r="V8" s="28" t="n">
        <f aca="false">U7</f>
        <v>25</v>
      </c>
      <c r="W8" s="28" t="n">
        <f aca="false">V7</f>
        <v>27</v>
      </c>
      <c r="X8" s="28" t="n">
        <f aca="false">W7</f>
        <v>29</v>
      </c>
      <c r="Y8" s="28" t="n">
        <f aca="false">X7</f>
        <v>31</v>
      </c>
      <c r="Z8" s="28" t="n">
        <f aca="false">Y7</f>
        <v>33</v>
      </c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" hidden="false" customHeight="false" outlineLevel="0" collapsed="false">
      <c r="A10" s="9" t="s">
        <v>377</v>
      </c>
      <c r="B10" s="20" t="n">
        <f aca="false">B6*Supuestos!$B$38</f>
        <v>0</v>
      </c>
      <c r="C10" s="20" t="n">
        <f aca="false">C6*Supuestos!$B$38</f>
        <v>0</v>
      </c>
      <c r="D10" s="20" t="n">
        <f aca="false">D6*Supuestos!$B$38</f>
        <v>0</v>
      </c>
      <c r="E10" s="20" t="n">
        <f aca="false">E6*Supuestos!$B$38</f>
        <v>13490</v>
      </c>
      <c r="F10" s="20" t="n">
        <f aca="false">F6*Supuestos!$B$38</f>
        <v>13490</v>
      </c>
      <c r="G10" s="20" t="n">
        <f aca="false">G6*Supuestos!$B$38</f>
        <v>13490</v>
      </c>
      <c r="H10" s="20" t="n">
        <f aca="false">H6*Supuestos!$B$38</f>
        <v>13490</v>
      </c>
      <c r="I10" s="20" t="n">
        <f aca="false">I6*Supuestos!$B$38</f>
        <v>13490</v>
      </c>
      <c r="J10" s="20" t="n">
        <f aca="false">J6*Supuestos!$B$38</f>
        <v>13490</v>
      </c>
      <c r="K10" s="20" t="n">
        <f aca="false">K6*Supuestos!$B$38</f>
        <v>13490</v>
      </c>
      <c r="L10" s="20" t="n">
        <f aca="false">L6*Supuestos!$B$38</f>
        <v>13490</v>
      </c>
      <c r="M10" s="20" t="n">
        <f aca="false">M6*Supuestos!$B$38</f>
        <v>13490</v>
      </c>
      <c r="N10" s="20" t="n">
        <f aca="false">N6*Supuestos!$B$38</f>
        <v>13490</v>
      </c>
      <c r="O10" s="20" t="n">
        <f aca="false">O6*Supuestos!$B$38</f>
        <v>26980</v>
      </c>
      <c r="P10" s="20" t="n">
        <f aca="false">P6*Supuestos!$B$38</f>
        <v>26980</v>
      </c>
      <c r="Q10" s="20" t="n">
        <f aca="false">Q6*Supuestos!$B$38</f>
        <v>26980</v>
      </c>
      <c r="R10" s="20" t="n">
        <f aca="false">R6*Supuestos!$B$38</f>
        <v>26980</v>
      </c>
      <c r="S10" s="20" t="n">
        <f aca="false">S6*Supuestos!$B$38</f>
        <v>26980</v>
      </c>
      <c r="T10" s="20" t="n">
        <f aca="false">T6*Supuestos!$B$38</f>
        <v>40470</v>
      </c>
      <c r="U10" s="20" t="n">
        <f aca="false">U6*Supuestos!$B$38</f>
        <v>26980</v>
      </c>
      <c r="V10" s="20" t="n">
        <f aca="false">V6*Supuestos!$B$38</f>
        <v>26980</v>
      </c>
      <c r="W10" s="20" t="n">
        <f aca="false">W6*Supuestos!$B$38</f>
        <v>26980</v>
      </c>
      <c r="X10" s="20" t="n">
        <f aca="false">X6*Supuestos!$B$38</f>
        <v>26980</v>
      </c>
      <c r="Y10" s="20" t="n">
        <f aca="false">Y6*Supuestos!$B$38</f>
        <v>26980</v>
      </c>
      <c r="Z10" s="20" t="n">
        <f aca="false">Z6*Supuestos!$B$38</f>
        <v>26980</v>
      </c>
    </row>
    <row r="11" customFormat="false" ht="15" hidden="false" customHeight="false" outlineLevel="0" collapsed="false">
      <c r="A11" s="9" t="s">
        <v>378</v>
      </c>
      <c r="B11" s="20" t="n">
        <f aca="false">B8*Supuestos!$B$39</f>
        <v>0</v>
      </c>
      <c r="C11" s="20" t="n">
        <f aca="false">C8*Supuestos!$B$39</f>
        <v>0</v>
      </c>
      <c r="D11" s="20" t="n">
        <f aca="false">D8*Supuestos!$B$39</f>
        <v>0</v>
      </c>
      <c r="E11" s="20" t="n">
        <f aca="false">E8*Supuestos!$B$39</f>
        <v>0</v>
      </c>
      <c r="F11" s="20" t="n">
        <f aca="false">F8*Supuestos!$B$39</f>
        <v>499</v>
      </c>
      <c r="G11" s="20" t="n">
        <f aca="false">G8*Supuestos!$B$39</f>
        <v>998</v>
      </c>
      <c r="H11" s="20" t="n">
        <f aca="false">H8*Supuestos!$B$39</f>
        <v>1497</v>
      </c>
      <c r="I11" s="20" t="n">
        <f aca="false">I8*Supuestos!$B$39</f>
        <v>1996</v>
      </c>
      <c r="J11" s="20" t="n">
        <f aca="false">J8*Supuestos!$B$39</f>
        <v>2495</v>
      </c>
      <c r="K11" s="20" t="n">
        <f aca="false">K8*Supuestos!$B$39</f>
        <v>2994</v>
      </c>
      <c r="L11" s="20" t="n">
        <f aca="false">L8*Supuestos!$B$39</f>
        <v>3493</v>
      </c>
      <c r="M11" s="20" t="n">
        <f aca="false">M8*Supuestos!$B$39</f>
        <v>3992</v>
      </c>
      <c r="N11" s="20" t="n">
        <f aca="false">N8*Supuestos!$B$39</f>
        <v>4491</v>
      </c>
      <c r="O11" s="20" t="n">
        <f aca="false">O8*Supuestos!$B$39</f>
        <v>4990</v>
      </c>
      <c r="P11" s="20" t="n">
        <f aca="false">P8*Supuestos!$B$39</f>
        <v>5988</v>
      </c>
      <c r="Q11" s="20" t="n">
        <f aca="false">Q8*Supuestos!$B$39</f>
        <v>6986</v>
      </c>
      <c r="R11" s="20" t="n">
        <f aca="false">R8*Supuestos!$B$39</f>
        <v>7984</v>
      </c>
      <c r="S11" s="20" t="n">
        <f aca="false">S8*Supuestos!$B$39</f>
        <v>8982</v>
      </c>
      <c r="T11" s="20" t="n">
        <f aca="false">T8*Supuestos!$B$39</f>
        <v>9980</v>
      </c>
      <c r="U11" s="20" t="n">
        <f aca="false">U8*Supuestos!$B$39</f>
        <v>11477</v>
      </c>
      <c r="V11" s="20" t="n">
        <f aca="false">V8*Supuestos!$B$39</f>
        <v>12475</v>
      </c>
      <c r="W11" s="20" t="n">
        <f aca="false">W8*Supuestos!$B$39</f>
        <v>13473</v>
      </c>
      <c r="X11" s="20" t="n">
        <f aca="false">X8*Supuestos!$B$39</f>
        <v>14471</v>
      </c>
      <c r="Y11" s="20" t="n">
        <f aca="false">Y8*Supuestos!$B$39</f>
        <v>15469</v>
      </c>
      <c r="Z11" s="20" t="n">
        <f aca="false">Z8*Supuestos!$B$39</f>
        <v>16467</v>
      </c>
    </row>
    <row r="12" customFormat="false" ht="15" hidden="false" customHeight="false" outlineLevel="0" collapsed="false">
      <c r="A12" s="23" t="s">
        <v>379</v>
      </c>
      <c r="B12" s="38" t="n">
        <f aca="false">B10+B11</f>
        <v>0</v>
      </c>
      <c r="C12" s="38" t="n">
        <f aca="false">C10+C11</f>
        <v>0</v>
      </c>
      <c r="D12" s="38" t="n">
        <f aca="false">D10+D11</f>
        <v>0</v>
      </c>
      <c r="E12" s="38" t="n">
        <f aca="false">E10+E11</f>
        <v>13490</v>
      </c>
      <c r="F12" s="38" t="n">
        <f aca="false">F10+F11</f>
        <v>13989</v>
      </c>
      <c r="G12" s="38" t="n">
        <f aca="false">G10+G11</f>
        <v>14488</v>
      </c>
      <c r="H12" s="38" t="n">
        <f aca="false">H10+H11</f>
        <v>14987</v>
      </c>
      <c r="I12" s="38" t="n">
        <f aca="false">I10+I11</f>
        <v>15486</v>
      </c>
      <c r="J12" s="38" t="n">
        <f aca="false">J10+J11</f>
        <v>15985</v>
      </c>
      <c r="K12" s="38" t="n">
        <f aca="false">K10+K11</f>
        <v>16484</v>
      </c>
      <c r="L12" s="38" t="n">
        <f aca="false">L10+L11</f>
        <v>16983</v>
      </c>
      <c r="M12" s="38" t="n">
        <f aca="false">M10+M11</f>
        <v>17482</v>
      </c>
      <c r="N12" s="38" t="n">
        <f aca="false">N10+N11</f>
        <v>17981</v>
      </c>
      <c r="O12" s="38" t="n">
        <f aca="false">O10+O11</f>
        <v>31970</v>
      </c>
      <c r="P12" s="38" t="n">
        <f aca="false">P10+P11</f>
        <v>32968</v>
      </c>
      <c r="Q12" s="38" t="n">
        <f aca="false">Q10+Q11</f>
        <v>33966</v>
      </c>
      <c r="R12" s="38" t="n">
        <f aca="false">R10+R11</f>
        <v>34964</v>
      </c>
      <c r="S12" s="38" t="n">
        <f aca="false">S10+S11</f>
        <v>35962</v>
      </c>
      <c r="T12" s="38" t="n">
        <f aca="false">T10+T11</f>
        <v>50450</v>
      </c>
      <c r="U12" s="38" t="n">
        <f aca="false">U10+U11</f>
        <v>38457</v>
      </c>
      <c r="V12" s="38" t="n">
        <f aca="false">V10+V11</f>
        <v>39455</v>
      </c>
      <c r="W12" s="38" t="n">
        <f aca="false">W10+W11</f>
        <v>40453</v>
      </c>
      <c r="X12" s="38" t="n">
        <f aca="false">X10+X11</f>
        <v>41451</v>
      </c>
      <c r="Y12" s="38" t="n">
        <f aca="false">Y10+Y11</f>
        <v>42449</v>
      </c>
      <c r="Z12" s="38" t="n">
        <f aca="false">Z10+Z11</f>
        <v>43447</v>
      </c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" hidden="false" customHeight="false" outlineLevel="0" collapsed="false">
      <c r="A14" s="9" t="s">
        <v>380</v>
      </c>
      <c r="B14" s="20" t="n">
        <f aca="false">C6*Supuestos!$B$6*IF(C5&lt;=1,'Costo unitario'!$B$7,'Costo unitario'!$C$7)*(1+Supuestos!$B$22)</f>
        <v>0</v>
      </c>
      <c r="C14" s="20" t="n">
        <f aca="false">D6*Supuestos!$B$6*IF(D5&lt;=1,'Costo unitario'!$B$7,'Costo unitario'!$C$7)*(1+Supuestos!$B$22)</f>
        <v>0</v>
      </c>
      <c r="D14" s="20" t="n">
        <f aca="false">E6*Supuestos!$B$6*IF(E5&lt;=1,'Costo unitario'!$B$7,'Costo unitario'!$C$7)*(1+Supuestos!$B$22)</f>
        <v>7484.2</v>
      </c>
      <c r="E14" s="20" t="n">
        <f aca="false">F6*Supuestos!$B$6*IF(F5&lt;=1,'Costo unitario'!$B$7,'Costo unitario'!$C$7)*(1+Supuestos!$B$22)</f>
        <v>7484.2</v>
      </c>
      <c r="F14" s="20" t="n">
        <f aca="false">G6*Supuestos!$B$6*IF(G5&lt;=1,'Costo unitario'!$B$7,'Costo unitario'!$C$7)*(1+Supuestos!$B$22)</f>
        <v>7484.2</v>
      </c>
      <c r="G14" s="20" t="n">
        <f aca="false">H6*Supuestos!$B$6*IF(H5&lt;=1,'Costo unitario'!$B$7,'Costo unitario'!$C$7)*(1+Supuestos!$B$22)</f>
        <v>7484.2</v>
      </c>
      <c r="H14" s="20" t="n">
        <f aca="false">I6*Supuestos!$B$6*IF(I5&lt;=1,'Costo unitario'!$B$7,'Costo unitario'!$C$7)*(1+Supuestos!$B$22)</f>
        <v>7484.2</v>
      </c>
      <c r="I14" s="20" t="n">
        <f aca="false">J6*Supuestos!$B$6*IF(J5&lt;=1,'Costo unitario'!$B$7,'Costo unitario'!$C$7)*(1+Supuestos!$B$22)</f>
        <v>7484.2</v>
      </c>
      <c r="J14" s="20" t="n">
        <f aca="false">K6*Supuestos!$B$6*IF(K5&lt;=1,'Costo unitario'!$B$7,'Costo unitario'!$C$7)*(1+Supuestos!$B$22)</f>
        <v>7484.2</v>
      </c>
      <c r="K14" s="20" t="n">
        <f aca="false">L6*Supuestos!$B$6*IF(L5&lt;=1,'Costo unitario'!$B$7,'Costo unitario'!$C$7)*(1+Supuestos!$B$22)</f>
        <v>7484.2</v>
      </c>
      <c r="L14" s="20" t="n">
        <f aca="false">M6*Supuestos!$B$6*IF(M5&lt;=1,'Costo unitario'!$B$7,'Costo unitario'!$C$7)*(1+Supuestos!$B$22)</f>
        <v>7484.2</v>
      </c>
      <c r="M14" s="20" t="n">
        <f aca="false">N6*Supuestos!$B$6*IF(N5&lt;=1,'Costo unitario'!$B$7,'Costo unitario'!$C$7)*(1+Supuestos!$B$22)</f>
        <v>7484.2</v>
      </c>
      <c r="N14" s="20" t="n">
        <f aca="false">O6*Supuestos!$B$6*IF(O5&lt;=1,'Costo unitario'!$B$7,'Costo unitario'!$C$7)*(1+Supuestos!$B$22)</f>
        <v>11757.6</v>
      </c>
      <c r="O14" s="20" t="n">
        <f aca="false">P6*Supuestos!$B$6*IF(P5&lt;=1,'Costo unitario'!$B$7,'Costo unitario'!$C$7)*(1+Supuestos!$B$22)</f>
        <v>11757.6</v>
      </c>
      <c r="P14" s="20" t="n">
        <f aca="false">Q6*Supuestos!$B$6*IF(Q5&lt;=1,'Costo unitario'!$B$7,'Costo unitario'!$C$7)*(1+Supuestos!$B$22)</f>
        <v>11757.6</v>
      </c>
      <c r="Q14" s="20" t="n">
        <f aca="false">R6*Supuestos!$B$6*IF(R5&lt;=1,'Costo unitario'!$B$7,'Costo unitario'!$C$7)*(1+Supuestos!$B$22)</f>
        <v>11757.6</v>
      </c>
      <c r="R14" s="20" t="n">
        <f aca="false">S6*Supuestos!$B$6*IF(S5&lt;=1,'Costo unitario'!$B$7,'Costo unitario'!$C$7)*(1+Supuestos!$B$22)</f>
        <v>11757.6</v>
      </c>
      <c r="S14" s="20" t="n">
        <f aca="false">T6*Supuestos!$B$6*IF(T5&lt;=1,'Costo unitario'!$B$7,'Costo unitario'!$C$7)*(1+Supuestos!$B$22)</f>
        <v>17636.4</v>
      </c>
      <c r="T14" s="20" t="n">
        <f aca="false">U6*Supuestos!$B$6*IF(U5&lt;=1,'Costo unitario'!$B$7,'Costo unitario'!$C$7)*(1+Supuestos!$B$22)</f>
        <v>11757.6</v>
      </c>
      <c r="U14" s="20" t="n">
        <f aca="false">V6*Supuestos!$B$6*IF(V5&lt;=1,'Costo unitario'!$B$7,'Costo unitario'!$C$7)*(1+Supuestos!$B$22)</f>
        <v>11757.6</v>
      </c>
      <c r="V14" s="20" t="n">
        <f aca="false">W6*Supuestos!$B$6*IF(W5&lt;=1,'Costo unitario'!$B$7,'Costo unitario'!$C$7)*(1+Supuestos!$B$22)</f>
        <v>11757.6</v>
      </c>
      <c r="W14" s="20" t="n">
        <f aca="false">X6*Supuestos!$B$6*IF(X5&lt;=1,'Costo unitario'!$B$7,'Costo unitario'!$C$7)*(1+Supuestos!$B$22)</f>
        <v>11757.6</v>
      </c>
      <c r="X14" s="20" t="n">
        <f aca="false">Y6*Supuestos!$B$6*IF(Y5&lt;=1,'Costo unitario'!$B$7,'Costo unitario'!$C$7)*(1+Supuestos!$B$22)</f>
        <v>11757.6</v>
      </c>
      <c r="Y14" s="20" t="n">
        <f aca="false">Z6*Supuestos!$B$6*IF(Z5&lt;=1,'Costo unitario'!$B$7,'Costo unitario'!$C$7)*(1+Supuestos!$B$22)</f>
        <v>11757.6</v>
      </c>
      <c r="Z14" s="20" t="n">
        <f aca="false">ROUND(Supuestos!$B$8/12,0)*Supuestos!$B$6*'Costo unitario'!$C$7*(1+Supuestos!$B$22)</f>
        <v>11757.6</v>
      </c>
    </row>
    <row r="15" customFormat="false" ht="15" hidden="false" customHeight="false" outlineLevel="0" collapsed="false">
      <c r="A15" s="9" t="s">
        <v>381</v>
      </c>
      <c r="B15" s="20" t="n">
        <f aca="false">B6*(Supuestos!$B$41*Supuestos!$B$38+Supuestos!$B$42)*(1+Supuestos!$B$43)</f>
        <v>0</v>
      </c>
      <c r="C15" s="20" t="n">
        <f aca="false">C6*(Supuestos!$B$41*Supuestos!$B$38+Supuestos!$B$42)*(1+Supuestos!$B$43)</f>
        <v>0</v>
      </c>
      <c r="D15" s="20" t="n">
        <f aca="false">D6*(Supuestos!$B$41*Supuestos!$B$38+Supuestos!$B$42)*(1+Supuestos!$B$43)</f>
        <v>0</v>
      </c>
      <c r="E15" s="20" t="n">
        <f aca="false">E6*(Supuestos!$B$41*Supuestos!$B$38+Supuestos!$B$42)*(1+Supuestos!$B$43)</f>
        <v>550.76916</v>
      </c>
      <c r="F15" s="20" t="n">
        <f aca="false">F6*(Supuestos!$B$41*Supuestos!$B$38+Supuestos!$B$42)*(1+Supuestos!$B$43)</f>
        <v>550.76916</v>
      </c>
      <c r="G15" s="20" t="n">
        <f aca="false">G6*(Supuestos!$B$41*Supuestos!$B$38+Supuestos!$B$42)*(1+Supuestos!$B$43)</f>
        <v>550.76916</v>
      </c>
      <c r="H15" s="20" t="n">
        <f aca="false">H6*(Supuestos!$B$41*Supuestos!$B$38+Supuestos!$B$42)*(1+Supuestos!$B$43)</f>
        <v>550.76916</v>
      </c>
      <c r="I15" s="20" t="n">
        <f aca="false">I6*(Supuestos!$B$41*Supuestos!$B$38+Supuestos!$B$42)*(1+Supuestos!$B$43)</f>
        <v>550.76916</v>
      </c>
      <c r="J15" s="20" t="n">
        <f aca="false">J6*(Supuestos!$B$41*Supuestos!$B$38+Supuestos!$B$42)*(1+Supuestos!$B$43)</f>
        <v>550.76916</v>
      </c>
      <c r="K15" s="20" t="n">
        <f aca="false">K6*(Supuestos!$B$41*Supuestos!$B$38+Supuestos!$B$42)*(1+Supuestos!$B$43)</f>
        <v>550.76916</v>
      </c>
      <c r="L15" s="20" t="n">
        <f aca="false">L6*(Supuestos!$B$41*Supuestos!$B$38+Supuestos!$B$42)*(1+Supuestos!$B$43)</f>
        <v>550.76916</v>
      </c>
      <c r="M15" s="20" t="n">
        <f aca="false">M6*(Supuestos!$B$41*Supuestos!$B$38+Supuestos!$B$42)*(1+Supuestos!$B$43)</f>
        <v>550.76916</v>
      </c>
      <c r="N15" s="20" t="n">
        <f aca="false">N6*(Supuestos!$B$41*Supuestos!$B$38+Supuestos!$B$42)*(1+Supuestos!$B$43)</f>
        <v>550.76916</v>
      </c>
      <c r="O15" s="20" t="n">
        <f aca="false">O6*(Supuestos!$B$41*Supuestos!$B$38+Supuestos!$B$42)*(1+Supuestos!$B$43)</f>
        <v>1101.53832</v>
      </c>
      <c r="P15" s="20" t="n">
        <f aca="false">P6*(Supuestos!$B$41*Supuestos!$B$38+Supuestos!$B$42)*(1+Supuestos!$B$43)</f>
        <v>1101.53832</v>
      </c>
      <c r="Q15" s="20" t="n">
        <f aca="false">Q6*(Supuestos!$B$41*Supuestos!$B$38+Supuestos!$B$42)*(1+Supuestos!$B$43)</f>
        <v>1101.53832</v>
      </c>
      <c r="R15" s="20" t="n">
        <f aca="false">R6*(Supuestos!$B$41*Supuestos!$B$38+Supuestos!$B$42)*(1+Supuestos!$B$43)</f>
        <v>1101.53832</v>
      </c>
      <c r="S15" s="20" t="n">
        <f aca="false">S6*(Supuestos!$B$41*Supuestos!$B$38+Supuestos!$B$42)*(1+Supuestos!$B$43)</f>
        <v>1101.53832</v>
      </c>
      <c r="T15" s="20" t="n">
        <f aca="false">T6*(Supuestos!$B$41*Supuestos!$B$38+Supuestos!$B$42)*(1+Supuestos!$B$43)</f>
        <v>1652.30748</v>
      </c>
      <c r="U15" s="20" t="n">
        <f aca="false">U6*(Supuestos!$B$41*Supuestos!$B$38+Supuestos!$B$42)*(1+Supuestos!$B$43)</f>
        <v>1101.53832</v>
      </c>
      <c r="V15" s="20" t="n">
        <f aca="false">V6*(Supuestos!$B$41*Supuestos!$B$38+Supuestos!$B$42)*(1+Supuestos!$B$43)</f>
        <v>1101.53832</v>
      </c>
      <c r="W15" s="20" t="n">
        <f aca="false">W6*(Supuestos!$B$41*Supuestos!$B$38+Supuestos!$B$42)*(1+Supuestos!$B$43)</f>
        <v>1101.53832</v>
      </c>
      <c r="X15" s="20" t="n">
        <f aca="false">X6*(Supuestos!$B$41*Supuestos!$B$38+Supuestos!$B$42)*(1+Supuestos!$B$43)</f>
        <v>1101.53832</v>
      </c>
      <c r="Y15" s="20" t="n">
        <f aca="false">Y6*(Supuestos!$B$41*Supuestos!$B$38+Supuestos!$B$42)*(1+Supuestos!$B$43)</f>
        <v>1101.53832</v>
      </c>
      <c r="Z15" s="20" t="n">
        <f aca="false">Z6*(Supuestos!$B$41*Supuestos!$B$38+Supuestos!$B$42)*(1+Supuestos!$B$43)</f>
        <v>1101.53832</v>
      </c>
    </row>
    <row r="16" customFormat="false" ht="15" hidden="false" customHeight="false" outlineLevel="0" collapsed="false">
      <c r="A16" s="9" t="s">
        <v>382</v>
      </c>
      <c r="B16" s="20" t="n">
        <f aca="false">B6*Supuestos!$B$44</f>
        <v>0</v>
      </c>
      <c r="C16" s="20" t="n">
        <f aca="false">C6*Supuestos!$B$44</f>
        <v>0</v>
      </c>
      <c r="D16" s="20" t="n">
        <f aca="false">D6*Supuestos!$B$44</f>
        <v>0</v>
      </c>
      <c r="E16" s="20" t="n">
        <f aca="false">E6*Supuestos!$B$44</f>
        <v>250</v>
      </c>
      <c r="F16" s="20" t="n">
        <f aca="false">F6*Supuestos!$B$44</f>
        <v>250</v>
      </c>
      <c r="G16" s="20" t="n">
        <f aca="false">G6*Supuestos!$B$44</f>
        <v>250</v>
      </c>
      <c r="H16" s="20" t="n">
        <f aca="false">H6*Supuestos!$B$44</f>
        <v>250</v>
      </c>
      <c r="I16" s="20" t="n">
        <f aca="false">I6*Supuestos!$B$44</f>
        <v>250</v>
      </c>
      <c r="J16" s="20" t="n">
        <f aca="false">J6*Supuestos!$B$44</f>
        <v>250</v>
      </c>
      <c r="K16" s="20" t="n">
        <f aca="false">K6*Supuestos!$B$44</f>
        <v>250</v>
      </c>
      <c r="L16" s="20" t="n">
        <f aca="false">L6*Supuestos!$B$44</f>
        <v>250</v>
      </c>
      <c r="M16" s="20" t="n">
        <f aca="false">M6*Supuestos!$B$44</f>
        <v>250</v>
      </c>
      <c r="N16" s="20" t="n">
        <f aca="false">N6*Supuestos!$B$44</f>
        <v>250</v>
      </c>
      <c r="O16" s="20" t="n">
        <f aca="false">O6*Supuestos!$B$44</f>
        <v>500</v>
      </c>
      <c r="P16" s="20" t="n">
        <f aca="false">P6*Supuestos!$B$44</f>
        <v>500</v>
      </c>
      <c r="Q16" s="20" t="n">
        <f aca="false">Q6*Supuestos!$B$44</f>
        <v>500</v>
      </c>
      <c r="R16" s="20" t="n">
        <f aca="false">R6*Supuestos!$B$44</f>
        <v>500</v>
      </c>
      <c r="S16" s="20" t="n">
        <f aca="false">S6*Supuestos!$B$44</f>
        <v>500</v>
      </c>
      <c r="T16" s="20" t="n">
        <f aca="false">T6*Supuestos!$B$44</f>
        <v>750</v>
      </c>
      <c r="U16" s="20" t="n">
        <f aca="false">U6*Supuestos!$B$44</f>
        <v>500</v>
      </c>
      <c r="V16" s="20" t="n">
        <f aca="false">V6*Supuestos!$B$44</f>
        <v>500</v>
      </c>
      <c r="W16" s="20" t="n">
        <f aca="false">W6*Supuestos!$B$44</f>
        <v>500</v>
      </c>
      <c r="X16" s="20" t="n">
        <f aca="false">X6*Supuestos!$B$44</f>
        <v>500</v>
      </c>
      <c r="Y16" s="20" t="n">
        <f aca="false">Y6*Supuestos!$B$44</f>
        <v>500</v>
      </c>
      <c r="Z16" s="20" t="n">
        <f aca="false">Z6*Supuestos!$B$44</f>
        <v>500</v>
      </c>
    </row>
    <row r="17" customFormat="false" ht="15" hidden="false" customHeight="false" outlineLevel="0" collapsed="false">
      <c r="A17" s="9" t="s">
        <v>383</v>
      </c>
      <c r="B17" s="20" t="n">
        <f aca="false">B8*(Supuestos!$B$41*Supuestos!$B$39+Supuestos!$B$42)*(1+Supuestos!$B$43)</f>
        <v>0</v>
      </c>
      <c r="C17" s="20" t="n">
        <f aca="false">C8*(Supuestos!$B$41*Supuestos!$B$39+Supuestos!$B$42)*(1+Supuestos!$B$43)</f>
        <v>0</v>
      </c>
      <c r="D17" s="20" t="n">
        <f aca="false">D8*(Supuestos!$B$41*Supuestos!$B$39+Supuestos!$B$42)*(1+Supuestos!$B$43)</f>
        <v>0</v>
      </c>
      <c r="E17" s="20" t="n">
        <f aca="false">E8*(Supuestos!$B$41*Supuestos!$B$39+Supuestos!$B$42)*(1+Supuestos!$B$43)</f>
        <v>0</v>
      </c>
      <c r="F17" s="20" t="n">
        <f aca="false">F8*(Supuestos!$B$41*Supuestos!$B$39+Supuestos!$B$42)*(1+Supuestos!$B$43)</f>
        <v>24.841516</v>
      </c>
      <c r="G17" s="20" t="n">
        <f aca="false">G8*(Supuestos!$B$41*Supuestos!$B$39+Supuestos!$B$42)*(1+Supuestos!$B$43)</f>
        <v>49.683032</v>
      </c>
      <c r="H17" s="20" t="n">
        <f aca="false">H8*(Supuestos!$B$41*Supuestos!$B$39+Supuestos!$B$42)*(1+Supuestos!$B$43)</f>
        <v>74.524548</v>
      </c>
      <c r="I17" s="20" t="n">
        <f aca="false">I8*(Supuestos!$B$41*Supuestos!$B$39+Supuestos!$B$42)*(1+Supuestos!$B$43)</f>
        <v>99.366064</v>
      </c>
      <c r="J17" s="20" t="n">
        <f aca="false">J8*(Supuestos!$B$41*Supuestos!$B$39+Supuestos!$B$42)*(1+Supuestos!$B$43)</f>
        <v>124.20758</v>
      </c>
      <c r="K17" s="20" t="n">
        <f aca="false">K8*(Supuestos!$B$41*Supuestos!$B$39+Supuestos!$B$42)*(1+Supuestos!$B$43)</f>
        <v>149.049096</v>
      </c>
      <c r="L17" s="20" t="n">
        <f aca="false">L8*(Supuestos!$B$41*Supuestos!$B$39+Supuestos!$B$42)*(1+Supuestos!$B$43)</f>
        <v>173.890612</v>
      </c>
      <c r="M17" s="20" t="n">
        <f aca="false">M8*(Supuestos!$B$41*Supuestos!$B$39+Supuestos!$B$42)*(1+Supuestos!$B$43)</f>
        <v>198.732128</v>
      </c>
      <c r="N17" s="20" t="n">
        <f aca="false">N8*(Supuestos!$B$41*Supuestos!$B$39+Supuestos!$B$42)*(1+Supuestos!$B$43)</f>
        <v>223.573644</v>
      </c>
      <c r="O17" s="20" t="n">
        <f aca="false">O8*(Supuestos!$B$41*Supuestos!$B$39+Supuestos!$B$42)*(1+Supuestos!$B$43)</f>
        <v>248.41516</v>
      </c>
      <c r="P17" s="20" t="n">
        <f aca="false">P8*(Supuestos!$B$41*Supuestos!$B$39+Supuestos!$B$42)*(1+Supuestos!$B$43)</f>
        <v>298.098192</v>
      </c>
      <c r="Q17" s="20" t="n">
        <f aca="false">Q8*(Supuestos!$B$41*Supuestos!$B$39+Supuestos!$B$42)*(1+Supuestos!$B$43)</f>
        <v>347.781224</v>
      </c>
      <c r="R17" s="20" t="n">
        <f aca="false">R8*(Supuestos!$B$41*Supuestos!$B$39+Supuestos!$B$42)*(1+Supuestos!$B$43)</f>
        <v>397.464256</v>
      </c>
      <c r="S17" s="20" t="n">
        <f aca="false">S8*(Supuestos!$B$41*Supuestos!$B$39+Supuestos!$B$42)*(1+Supuestos!$B$43)</f>
        <v>447.147288</v>
      </c>
      <c r="T17" s="20" t="n">
        <f aca="false">T8*(Supuestos!$B$41*Supuestos!$B$39+Supuestos!$B$42)*(1+Supuestos!$B$43)</f>
        <v>496.83032</v>
      </c>
      <c r="U17" s="20" t="n">
        <f aca="false">U8*(Supuestos!$B$41*Supuestos!$B$39+Supuestos!$B$42)*(1+Supuestos!$B$43)</f>
        <v>571.354868</v>
      </c>
      <c r="V17" s="20" t="n">
        <f aca="false">V8*(Supuestos!$B$41*Supuestos!$B$39+Supuestos!$B$42)*(1+Supuestos!$B$43)</f>
        <v>621.0379</v>
      </c>
      <c r="W17" s="20" t="n">
        <f aca="false">W8*(Supuestos!$B$41*Supuestos!$B$39+Supuestos!$B$42)*(1+Supuestos!$B$43)</f>
        <v>670.720932</v>
      </c>
      <c r="X17" s="20" t="n">
        <f aca="false">X8*(Supuestos!$B$41*Supuestos!$B$39+Supuestos!$B$42)*(1+Supuestos!$B$43)</f>
        <v>720.403964</v>
      </c>
      <c r="Y17" s="20" t="n">
        <f aca="false">Y8*(Supuestos!$B$41*Supuestos!$B$39+Supuestos!$B$42)*(1+Supuestos!$B$43)</f>
        <v>770.086996</v>
      </c>
      <c r="Z17" s="20" t="n">
        <f aca="false">Z8*(Supuestos!$B$41*Supuestos!$B$39+Supuestos!$B$42)*(1+Supuestos!$B$43)</f>
        <v>819.770028</v>
      </c>
    </row>
    <row r="18" customFormat="false" ht="15" hidden="false" customHeight="false" outlineLevel="0" collapsed="false">
      <c r="A18" s="9" t="s">
        <v>384</v>
      </c>
      <c r="B18" s="20" t="n">
        <f aca="false">B7*(IA!$B$9+Supuestos!$B$46*Supuestos!$B$15+Supuestos!$B$48*Supuestos!$B$47/3)</f>
        <v>0</v>
      </c>
      <c r="C18" s="20" t="n">
        <f aca="false">C7*(IA!$B$9+Supuestos!$B$46*Supuestos!$B$15+Supuestos!$B$48*Supuestos!$B$47/3)</f>
        <v>0</v>
      </c>
      <c r="D18" s="20" t="n">
        <f aca="false">D7*(IA!$B$9+Supuestos!$B$46*Supuestos!$B$15+Supuestos!$B$48*Supuestos!$B$47/3)</f>
        <v>0</v>
      </c>
      <c r="E18" s="20" t="n">
        <f aca="false">E7*(IA!$B$9+Supuestos!$B$46*Supuestos!$B$15+Supuestos!$B$48*Supuestos!$B$47/3)</f>
        <v>97.8998733333333</v>
      </c>
      <c r="F18" s="20" t="n">
        <f aca="false">F7*(IA!$B$9+Supuestos!$B$46*Supuestos!$B$15+Supuestos!$B$48*Supuestos!$B$47/3)</f>
        <v>195.799746666667</v>
      </c>
      <c r="G18" s="20" t="n">
        <f aca="false">G7*(IA!$B$9+Supuestos!$B$46*Supuestos!$B$15+Supuestos!$B$48*Supuestos!$B$47/3)</f>
        <v>293.69962</v>
      </c>
      <c r="H18" s="20" t="n">
        <f aca="false">H7*(IA!$B$9+Supuestos!$B$46*Supuestos!$B$15+Supuestos!$B$48*Supuestos!$B$47/3)</f>
        <v>391.599493333333</v>
      </c>
      <c r="I18" s="20" t="n">
        <f aca="false">I7*(IA!$B$9+Supuestos!$B$46*Supuestos!$B$15+Supuestos!$B$48*Supuestos!$B$47/3)</f>
        <v>489.499366666667</v>
      </c>
      <c r="J18" s="20" t="n">
        <f aca="false">J7*(IA!$B$9+Supuestos!$B$46*Supuestos!$B$15+Supuestos!$B$48*Supuestos!$B$47/3)</f>
        <v>587.39924</v>
      </c>
      <c r="K18" s="20" t="n">
        <f aca="false">K7*(IA!$B$9+Supuestos!$B$46*Supuestos!$B$15+Supuestos!$B$48*Supuestos!$B$47/3)</f>
        <v>685.299113333333</v>
      </c>
      <c r="L18" s="20" t="n">
        <f aca="false">L7*(IA!$B$9+Supuestos!$B$46*Supuestos!$B$15+Supuestos!$B$48*Supuestos!$B$47/3)</f>
        <v>783.198986666667</v>
      </c>
      <c r="M18" s="20" t="n">
        <f aca="false">M7*(IA!$B$9+Supuestos!$B$46*Supuestos!$B$15+Supuestos!$B$48*Supuestos!$B$47/3)</f>
        <v>881.09886</v>
      </c>
      <c r="N18" s="20" t="n">
        <f aca="false">N7*(IA!$B$9+Supuestos!$B$46*Supuestos!$B$15+Supuestos!$B$48*Supuestos!$B$47/3)</f>
        <v>978.998733333333</v>
      </c>
      <c r="O18" s="20" t="n">
        <f aca="false">O7*(IA!$B$9+Supuestos!$B$46*Supuestos!$B$15+Supuestos!$B$48*Supuestos!$B$47/3)</f>
        <v>1174.79848</v>
      </c>
      <c r="P18" s="20" t="n">
        <f aca="false">P7*(IA!$B$9+Supuestos!$B$46*Supuestos!$B$15+Supuestos!$B$48*Supuestos!$B$47/3)</f>
        <v>1370.59822666667</v>
      </c>
      <c r="Q18" s="20" t="n">
        <f aca="false">Q7*(IA!$B$9+Supuestos!$B$46*Supuestos!$B$15+Supuestos!$B$48*Supuestos!$B$47/3)</f>
        <v>1566.39797333333</v>
      </c>
      <c r="R18" s="20" t="n">
        <f aca="false">R7*(IA!$B$9+Supuestos!$B$46*Supuestos!$B$15+Supuestos!$B$48*Supuestos!$B$47/3)</f>
        <v>1762.19772</v>
      </c>
      <c r="S18" s="20" t="n">
        <f aca="false">S7*(IA!$B$9+Supuestos!$B$46*Supuestos!$B$15+Supuestos!$B$48*Supuestos!$B$47/3)</f>
        <v>1957.99746666667</v>
      </c>
      <c r="T18" s="20" t="n">
        <f aca="false">T7*(IA!$B$9+Supuestos!$B$46*Supuestos!$B$15+Supuestos!$B$48*Supuestos!$B$47/3)</f>
        <v>2251.69708666667</v>
      </c>
      <c r="U18" s="20" t="n">
        <f aca="false">U7*(IA!$B$9+Supuestos!$B$46*Supuestos!$B$15+Supuestos!$B$48*Supuestos!$B$47/3)</f>
        <v>2447.49683333333</v>
      </c>
      <c r="V18" s="20" t="n">
        <f aca="false">V7*(IA!$B$9+Supuestos!$B$46*Supuestos!$B$15+Supuestos!$B$48*Supuestos!$B$47/3)</f>
        <v>2643.29658</v>
      </c>
      <c r="W18" s="20" t="n">
        <f aca="false">W7*(IA!$B$9+Supuestos!$B$46*Supuestos!$B$15+Supuestos!$B$48*Supuestos!$B$47/3)</f>
        <v>2839.09632666667</v>
      </c>
      <c r="X18" s="20" t="n">
        <f aca="false">X7*(IA!$B$9+Supuestos!$B$46*Supuestos!$B$15+Supuestos!$B$48*Supuestos!$B$47/3)</f>
        <v>3034.89607333333</v>
      </c>
      <c r="Y18" s="20" t="n">
        <f aca="false">Y7*(IA!$B$9+Supuestos!$B$46*Supuestos!$B$15+Supuestos!$B$48*Supuestos!$B$47/3)</f>
        <v>3230.69582</v>
      </c>
      <c r="Z18" s="20" t="n">
        <f aca="false">Z7*(IA!$B$9+Supuestos!$B$46*Supuestos!$B$15+Supuestos!$B$48*Supuestos!$B$47/3)</f>
        <v>3426.49556666667</v>
      </c>
    </row>
    <row r="19" customFormat="false" ht="15" hidden="false" customHeight="false" outlineLevel="0" collapsed="false">
      <c r="A19" s="9" t="s">
        <v>385</v>
      </c>
      <c r="B19" s="20" t="n">
        <f aca="false">0</f>
        <v>0</v>
      </c>
      <c r="C19" s="20" t="n">
        <f aca="false">Supuestos!$B$27*Supuestos!$B$5</f>
        <v>467.5</v>
      </c>
      <c r="D19" s="20" t="n">
        <f aca="false">Supuestos!$B$27*Supuestos!$B$5</f>
        <v>467.5</v>
      </c>
      <c r="E19" s="20" t="n">
        <f aca="false">Supuestos!$B$27*Supuestos!$B$5</f>
        <v>467.5</v>
      </c>
      <c r="F19" s="20" t="n">
        <f aca="false">Supuestos!$B$27*Supuestos!$B$5</f>
        <v>467.5</v>
      </c>
      <c r="G19" s="20" t="n">
        <f aca="false">Supuestos!$B$27*Supuestos!$B$5</f>
        <v>467.5</v>
      </c>
      <c r="H19" s="20" t="n">
        <f aca="false">Supuestos!$B$27*Supuestos!$B$5</f>
        <v>467.5</v>
      </c>
      <c r="I19" s="20" t="n">
        <f aca="false">Supuestos!$B$27*Supuestos!$B$5</f>
        <v>467.5</v>
      </c>
      <c r="J19" s="20" t="n">
        <f aca="false">Supuestos!$B$27*Supuestos!$B$5</f>
        <v>467.5</v>
      </c>
      <c r="K19" s="20" t="n">
        <f aca="false">Supuestos!$B$27*Supuestos!$B$5</f>
        <v>467.5</v>
      </c>
      <c r="L19" s="20" t="n">
        <f aca="false">Supuestos!$B$27*Supuestos!$B$5</f>
        <v>467.5</v>
      </c>
      <c r="M19" s="20" t="n">
        <f aca="false">Supuestos!$B$27*Supuestos!$B$5</f>
        <v>467.5</v>
      </c>
      <c r="N19" s="20" t="n">
        <f aca="false">Supuestos!$B$27*Supuestos!$B$5</f>
        <v>467.5</v>
      </c>
      <c r="O19" s="20" t="n">
        <f aca="false">Supuestos!$B$27*Supuestos!$B$5</f>
        <v>467.5</v>
      </c>
      <c r="P19" s="20" t="n">
        <f aca="false">Supuestos!$B$27*Supuestos!$B$5</f>
        <v>467.5</v>
      </c>
      <c r="Q19" s="20" t="n">
        <f aca="false">Supuestos!$B$27*Supuestos!$B$5</f>
        <v>467.5</v>
      </c>
      <c r="R19" s="20" t="n">
        <f aca="false">Supuestos!$B$27*Supuestos!$B$5</f>
        <v>467.5</v>
      </c>
      <c r="S19" s="20" t="n">
        <f aca="false">Supuestos!$B$27*Supuestos!$B$5</f>
        <v>467.5</v>
      </c>
      <c r="T19" s="20" t="n">
        <f aca="false">Supuestos!$B$27*Supuestos!$B$5</f>
        <v>467.5</v>
      </c>
      <c r="U19" s="20" t="n">
        <f aca="false">Supuestos!$B$27*Supuestos!$B$5</f>
        <v>467.5</v>
      </c>
      <c r="V19" s="20" t="n">
        <f aca="false">Supuestos!$B$27*Supuestos!$B$5</f>
        <v>467.5</v>
      </c>
      <c r="W19" s="20" t="n">
        <f aca="false">Supuestos!$B$27*Supuestos!$B$5</f>
        <v>467.5</v>
      </c>
      <c r="X19" s="20" t="n">
        <f aca="false">Supuestos!$B$27*Supuestos!$B$5</f>
        <v>467.5</v>
      </c>
      <c r="Y19" s="20" t="n">
        <f aca="false">Supuestos!$B$27*Supuestos!$B$5</f>
        <v>467.5</v>
      </c>
      <c r="Z19" s="20" t="n">
        <f aca="false">Supuestos!$B$27*Supuestos!$B$5</f>
        <v>467.5</v>
      </c>
    </row>
    <row r="20" customFormat="false" ht="15" hidden="false" customHeight="false" outlineLevel="0" collapsed="false">
      <c r="A20" s="9" t="s">
        <v>386</v>
      </c>
      <c r="B20" s="20" t="n">
        <f aca="false">0</f>
        <v>0</v>
      </c>
      <c r="C20" s="20" t="n">
        <f aca="false">Supuestos!$B$49</f>
        <v>1000</v>
      </c>
      <c r="D20" s="20" t="n">
        <f aca="false">Supuestos!$B$49</f>
        <v>1000</v>
      </c>
      <c r="E20" s="20" t="n">
        <f aca="false">Supuestos!$B$49</f>
        <v>1000</v>
      </c>
      <c r="F20" s="20" t="n">
        <f aca="false">Supuestos!$B$49</f>
        <v>1000</v>
      </c>
      <c r="G20" s="20" t="n">
        <f aca="false">Supuestos!$B$49</f>
        <v>1000</v>
      </c>
      <c r="H20" s="20" t="n">
        <f aca="false">Supuestos!$B$49</f>
        <v>1000</v>
      </c>
      <c r="I20" s="20" t="n">
        <f aca="false">Supuestos!$B$49</f>
        <v>1000</v>
      </c>
      <c r="J20" s="20" t="n">
        <f aca="false">Supuestos!$B$49</f>
        <v>1000</v>
      </c>
      <c r="K20" s="20" t="n">
        <f aca="false">Supuestos!$B$49</f>
        <v>1000</v>
      </c>
      <c r="L20" s="20" t="n">
        <f aca="false">Supuestos!$B$49</f>
        <v>1000</v>
      </c>
      <c r="M20" s="20" t="n">
        <f aca="false">Supuestos!$B$49</f>
        <v>1000</v>
      </c>
      <c r="N20" s="20" t="n">
        <f aca="false">Supuestos!$B$49</f>
        <v>1000</v>
      </c>
      <c r="O20" s="20" t="n">
        <f aca="false">Supuestos!$B$49</f>
        <v>1000</v>
      </c>
      <c r="P20" s="20" t="n">
        <f aca="false">Supuestos!$B$49</f>
        <v>1000</v>
      </c>
      <c r="Q20" s="20" t="n">
        <f aca="false">Supuestos!$B$49</f>
        <v>1000</v>
      </c>
      <c r="R20" s="20" t="n">
        <f aca="false">Supuestos!$B$49</f>
        <v>1000</v>
      </c>
      <c r="S20" s="20" t="n">
        <f aca="false">Supuestos!$B$49</f>
        <v>1000</v>
      </c>
      <c r="T20" s="20" t="n">
        <f aca="false">Supuestos!$B$49</f>
        <v>1000</v>
      </c>
      <c r="U20" s="20" t="n">
        <f aca="false">Supuestos!$B$49</f>
        <v>1000</v>
      </c>
      <c r="V20" s="20" t="n">
        <f aca="false">Supuestos!$B$49</f>
        <v>1000</v>
      </c>
      <c r="W20" s="20" t="n">
        <f aca="false">Supuestos!$B$49</f>
        <v>1000</v>
      </c>
      <c r="X20" s="20" t="n">
        <f aca="false">Supuestos!$B$49</f>
        <v>1000</v>
      </c>
      <c r="Y20" s="20" t="n">
        <f aca="false">Supuestos!$B$49</f>
        <v>1000</v>
      </c>
      <c r="Z20" s="20" t="n">
        <f aca="false">Supuestos!$B$49</f>
        <v>1000</v>
      </c>
    </row>
    <row r="21" customFormat="false" ht="15" hidden="false" customHeight="false" outlineLevel="0" collapsed="false">
      <c r="A21" s="9" t="s">
        <v>387</v>
      </c>
      <c r="B21" s="20" t="n">
        <f aca="false">0</f>
        <v>0</v>
      </c>
      <c r="C21" s="20" t="n">
        <f aca="false">Supuestos!$B$50</f>
        <v>1000</v>
      </c>
      <c r="D21" s="20" t="n">
        <f aca="false">Supuestos!$B$50</f>
        <v>1000</v>
      </c>
      <c r="E21" s="20" t="n">
        <f aca="false">Supuestos!$B$50</f>
        <v>1000</v>
      </c>
      <c r="F21" s="20" t="n">
        <f aca="false">Supuestos!$B$50</f>
        <v>1000</v>
      </c>
      <c r="G21" s="20" t="n">
        <f aca="false">Supuestos!$B$50</f>
        <v>1000</v>
      </c>
      <c r="H21" s="20" t="n">
        <f aca="false">Supuestos!$B$50</f>
        <v>1000</v>
      </c>
      <c r="I21" s="20" t="n">
        <f aca="false">Supuestos!$B$50</f>
        <v>1000</v>
      </c>
      <c r="J21" s="20" t="n">
        <f aca="false">Supuestos!$B$50</f>
        <v>1000</v>
      </c>
      <c r="K21" s="20" t="n">
        <f aca="false">Supuestos!$B$50</f>
        <v>1000</v>
      </c>
      <c r="L21" s="20" t="n">
        <f aca="false">Supuestos!$B$50</f>
        <v>1000</v>
      </c>
      <c r="M21" s="20" t="n">
        <f aca="false">Supuestos!$B$50</f>
        <v>1000</v>
      </c>
      <c r="N21" s="20" t="n">
        <f aca="false">Supuestos!$B$50</f>
        <v>1000</v>
      </c>
      <c r="O21" s="20" t="n">
        <f aca="false">Supuestos!$B$50</f>
        <v>1000</v>
      </c>
      <c r="P21" s="20" t="n">
        <f aca="false">Supuestos!$B$50</f>
        <v>1000</v>
      </c>
      <c r="Q21" s="20" t="n">
        <f aca="false">Supuestos!$B$50</f>
        <v>1000</v>
      </c>
      <c r="R21" s="20" t="n">
        <f aca="false">Supuestos!$B$50</f>
        <v>1000</v>
      </c>
      <c r="S21" s="20" t="n">
        <f aca="false">Supuestos!$B$50</f>
        <v>1000</v>
      </c>
      <c r="T21" s="20" t="n">
        <f aca="false">Supuestos!$B$50</f>
        <v>1000</v>
      </c>
      <c r="U21" s="20" t="n">
        <f aca="false">Supuestos!$B$50</f>
        <v>1000</v>
      </c>
      <c r="V21" s="20" t="n">
        <f aca="false">Supuestos!$B$50</f>
        <v>1000</v>
      </c>
      <c r="W21" s="20" t="n">
        <f aca="false">Supuestos!$B$50</f>
        <v>1000</v>
      </c>
      <c r="X21" s="20" t="n">
        <f aca="false">Supuestos!$B$50</f>
        <v>1000</v>
      </c>
      <c r="Y21" s="20" t="n">
        <f aca="false">Supuestos!$B$50</f>
        <v>1000</v>
      </c>
      <c r="Z21" s="20" t="n">
        <f aca="false">Supuestos!$B$50</f>
        <v>1000</v>
      </c>
    </row>
    <row r="22" customFormat="false" ht="15" hidden="false" customHeight="false" outlineLevel="0" collapsed="false">
      <c r="A22" s="9" t="s">
        <v>388</v>
      </c>
      <c r="B22" s="20" t="n">
        <f aca="false">(Supuestos!$B$52+Supuestos!$B$53)*Supuestos!$B$5+Supuestos!$B$54</f>
        <v>2918.8</v>
      </c>
      <c r="C22" s="20" t="n">
        <f aca="false">0</f>
        <v>0</v>
      </c>
      <c r="D22" s="20" t="n">
        <f aca="false">0</f>
        <v>0</v>
      </c>
      <c r="E22" s="20" t="n">
        <f aca="false">0</f>
        <v>0</v>
      </c>
      <c r="F22" s="20" t="n">
        <f aca="false">0</f>
        <v>0</v>
      </c>
      <c r="G22" s="20" t="n">
        <f aca="false">0</f>
        <v>0</v>
      </c>
      <c r="H22" s="20" t="n">
        <f aca="false">0</f>
        <v>0</v>
      </c>
      <c r="I22" s="20" t="n">
        <f aca="false">0</f>
        <v>0</v>
      </c>
      <c r="J22" s="20" t="n">
        <f aca="false">0</f>
        <v>0</v>
      </c>
      <c r="K22" s="20" t="n">
        <f aca="false">0</f>
        <v>0</v>
      </c>
      <c r="L22" s="20" t="n">
        <f aca="false">0</f>
        <v>0</v>
      </c>
      <c r="M22" s="20" t="n">
        <f aca="false">0</f>
        <v>0</v>
      </c>
      <c r="N22" s="20" t="n">
        <f aca="false">Supuestos!$B$52*Supuestos!$B$5+Supuestos!$B$54</f>
        <v>2451.3</v>
      </c>
      <c r="O22" s="20" t="n">
        <f aca="false">0</f>
        <v>0</v>
      </c>
      <c r="P22" s="20" t="n">
        <f aca="false">0</f>
        <v>0</v>
      </c>
      <c r="Q22" s="20" t="n">
        <f aca="false">0</f>
        <v>0</v>
      </c>
      <c r="R22" s="20" t="n">
        <f aca="false">0</f>
        <v>0</v>
      </c>
      <c r="S22" s="20" t="n">
        <f aca="false">0</f>
        <v>0</v>
      </c>
      <c r="T22" s="20" t="n">
        <f aca="false">0</f>
        <v>0</v>
      </c>
      <c r="U22" s="20" t="n">
        <f aca="false">0</f>
        <v>0</v>
      </c>
      <c r="V22" s="20" t="n">
        <f aca="false">0</f>
        <v>0</v>
      </c>
      <c r="W22" s="20" t="n">
        <f aca="false">0</f>
        <v>0</v>
      </c>
      <c r="X22" s="20" t="n">
        <f aca="false">0</f>
        <v>0</v>
      </c>
      <c r="Y22" s="20" t="n">
        <f aca="false">0</f>
        <v>0</v>
      </c>
      <c r="Z22" s="20" t="n">
        <f aca="false">0</f>
        <v>0</v>
      </c>
    </row>
    <row r="23" customFormat="false" ht="15" hidden="false" customHeight="false" outlineLevel="0" collapsed="false">
      <c r="A23" s="9" t="s">
        <v>389</v>
      </c>
      <c r="B23" s="20" t="n">
        <f aca="false">Desarrollo!$K$22+Supuestos!$B$55+Supuestos!$B$6*'Costo unitario'!$B$7+Supuestos!$B$51</f>
        <v>77372.865</v>
      </c>
      <c r="C23" s="20" t="n">
        <f aca="false">0</f>
        <v>0</v>
      </c>
      <c r="D23" s="20" t="n">
        <f aca="false">0</f>
        <v>0</v>
      </c>
      <c r="E23" s="20" t="n">
        <f aca="false">0</f>
        <v>0</v>
      </c>
      <c r="F23" s="20" t="n">
        <f aca="false">0</f>
        <v>0</v>
      </c>
      <c r="G23" s="20" t="n">
        <f aca="false">0</f>
        <v>0</v>
      </c>
      <c r="H23" s="20" t="n">
        <f aca="false">0</f>
        <v>0</v>
      </c>
      <c r="I23" s="20" t="n">
        <f aca="false">0</f>
        <v>0</v>
      </c>
      <c r="J23" s="20" t="n">
        <f aca="false">0</f>
        <v>0</v>
      </c>
      <c r="K23" s="20" t="n">
        <f aca="false">0</f>
        <v>0</v>
      </c>
      <c r="L23" s="20" t="n">
        <f aca="false">0</f>
        <v>0</v>
      </c>
      <c r="M23" s="20" t="n">
        <f aca="false">0</f>
        <v>0</v>
      </c>
      <c r="N23" s="20" t="n">
        <f aca="false">0</f>
        <v>0</v>
      </c>
      <c r="O23" s="20" t="n">
        <f aca="false">0</f>
        <v>0</v>
      </c>
      <c r="P23" s="20" t="n">
        <f aca="false">0</f>
        <v>0</v>
      </c>
      <c r="Q23" s="20" t="n">
        <f aca="false">0</f>
        <v>0</v>
      </c>
      <c r="R23" s="20" t="n">
        <f aca="false">0</f>
        <v>0</v>
      </c>
      <c r="S23" s="20" t="n">
        <f aca="false">0</f>
        <v>0</v>
      </c>
      <c r="T23" s="20" t="n">
        <f aca="false">0</f>
        <v>0</v>
      </c>
      <c r="U23" s="20" t="n">
        <f aca="false">0</f>
        <v>0</v>
      </c>
      <c r="V23" s="20" t="n">
        <f aca="false">0</f>
        <v>0</v>
      </c>
      <c r="W23" s="20" t="n">
        <f aca="false">0</f>
        <v>0</v>
      </c>
      <c r="X23" s="20" t="n">
        <f aca="false">0</f>
        <v>0</v>
      </c>
      <c r="Y23" s="20" t="n">
        <f aca="false">0</f>
        <v>0</v>
      </c>
      <c r="Z23" s="20" t="n">
        <f aca="false">0</f>
        <v>0</v>
      </c>
    </row>
    <row r="24" customFormat="false" ht="15" hidden="false" customHeight="false" outlineLevel="0" collapsed="false">
      <c r="A24" s="23" t="s">
        <v>390</v>
      </c>
      <c r="B24" s="38" t="n">
        <f aca="false">SUM(B14:B23)</f>
        <v>80291.665</v>
      </c>
      <c r="C24" s="38" t="n">
        <f aca="false">SUM(C14:C23)</f>
        <v>2467.5</v>
      </c>
      <c r="D24" s="38" t="n">
        <f aca="false">SUM(D14:D23)</f>
        <v>9951.7</v>
      </c>
      <c r="E24" s="38" t="n">
        <f aca="false">SUM(E14:E23)</f>
        <v>10850.3690333333</v>
      </c>
      <c r="F24" s="38" t="n">
        <f aca="false">SUM(F14:F23)</f>
        <v>10973.1104226667</v>
      </c>
      <c r="G24" s="38" t="n">
        <f aca="false">SUM(G14:G23)</f>
        <v>11095.851812</v>
      </c>
      <c r="H24" s="38" t="n">
        <f aca="false">SUM(H14:H23)</f>
        <v>11218.5932013333</v>
      </c>
      <c r="I24" s="38" t="n">
        <f aca="false">SUM(I14:I23)</f>
        <v>11341.3345906667</v>
      </c>
      <c r="J24" s="38" t="n">
        <f aca="false">SUM(J14:J23)</f>
        <v>11464.07598</v>
      </c>
      <c r="K24" s="38" t="n">
        <f aca="false">SUM(K14:K23)</f>
        <v>11586.8173693333</v>
      </c>
      <c r="L24" s="38" t="n">
        <f aca="false">SUM(L14:L23)</f>
        <v>11709.5587586667</v>
      </c>
      <c r="M24" s="38" t="n">
        <f aca="false">SUM(M14:M23)</f>
        <v>11832.300148</v>
      </c>
      <c r="N24" s="38" t="n">
        <f aca="false">SUM(N14:N23)</f>
        <v>18679.7415373333</v>
      </c>
      <c r="O24" s="38" t="n">
        <f aca="false">SUM(O14:O23)</f>
        <v>17249.85196</v>
      </c>
      <c r="P24" s="38" t="n">
        <f aca="false">SUM(P14:P23)</f>
        <v>17495.3347386667</v>
      </c>
      <c r="Q24" s="38" t="n">
        <f aca="false">SUM(Q14:Q23)</f>
        <v>17740.8175173333</v>
      </c>
      <c r="R24" s="38" t="n">
        <f aca="false">SUM(R14:R23)</f>
        <v>17986.300296</v>
      </c>
      <c r="S24" s="38" t="n">
        <f aca="false">SUM(S14:S23)</f>
        <v>24110.5830746667</v>
      </c>
      <c r="T24" s="38" t="n">
        <f aca="false">SUM(T14:T23)</f>
        <v>19375.9348866667</v>
      </c>
      <c r="U24" s="38" t="n">
        <f aca="false">SUM(U14:U23)</f>
        <v>18845.4900213333</v>
      </c>
      <c r="V24" s="38" t="n">
        <f aca="false">SUM(V14:V23)</f>
        <v>19090.9728</v>
      </c>
      <c r="W24" s="38" t="n">
        <f aca="false">SUM(W14:W23)</f>
        <v>19336.4555786667</v>
      </c>
      <c r="X24" s="38" t="n">
        <f aca="false">SUM(X14:X23)</f>
        <v>19581.9383573333</v>
      </c>
      <c r="Y24" s="38" t="n">
        <f aca="false">SUM(Y14:Y23)</f>
        <v>19827.421136</v>
      </c>
      <c r="Z24" s="38" t="n">
        <f aca="false">SUM(Z14:Z23)</f>
        <v>20072.9039146667</v>
      </c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" hidden="false" customHeight="false" outlineLevel="0" collapsed="false">
      <c r="A26" s="23" t="s">
        <v>391</v>
      </c>
      <c r="B26" s="24" t="n">
        <f aca="false">B12-B24</f>
        <v>-80291.665</v>
      </c>
      <c r="C26" s="24" t="n">
        <f aca="false">C12-C24</f>
        <v>-2467.5</v>
      </c>
      <c r="D26" s="24" t="n">
        <f aca="false">D12-D24</f>
        <v>-9951.7</v>
      </c>
      <c r="E26" s="24" t="n">
        <f aca="false">E12-E24</f>
        <v>2639.63096666667</v>
      </c>
      <c r="F26" s="24" t="n">
        <f aca="false">F12-F24</f>
        <v>3015.88957733333</v>
      </c>
      <c r="G26" s="24" t="n">
        <f aca="false">G12-G24</f>
        <v>3392.148188</v>
      </c>
      <c r="H26" s="24" t="n">
        <f aca="false">H12-H24</f>
        <v>3768.40679866667</v>
      </c>
      <c r="I26" s="24" t="n">
        <f aca="false">I12-I24</f>
        <v>4144.66540933333</v>
      </c>
      <c r="J26" s="24" t="n">
        <f aca="false">J12-J24</f>
        <v>4520.92402</v>
      </c>
      <c r="K26" s="24" t="n">
        <f aca="false">K12-K24</f>
        <v>4897.18263066667</v>
      </c>
      <c r="L26" s="24" t="n">
        <f aca="false">L12-L24</f>
        <v>5273.44124133333</v>
      </c>
      <c r="M26" s="24" t="n">
        <f aca="false">M12-M24</f>
        <v>5649.699852</v>
      </c>
      <c r="N26" s="24" t="n">
        <f aca="false">N12-N24</f>
        <v>-698.741537333332</v>
      </c>
      <c r="O26" s="24" t="n">
        <f aca="false">O12-O24</f>
        <v>14720.14804</v>
      </c>
      <c r="P26" s="24" t="n">
        <f aca="false">P12-P24</f>
        <v>15472.6652613333</v>
      </c>
      <c r="Q26" s="24" t="n">
        <f aca="false">Q12-Q24</f>
        <v>16225.1824826667</v>
      </c>
      <c r="R26" s="24" t="n">
        <f aca="false">R12-R24</f>
        <v>16977.699704</v>
      </c>
      <c r="S26" s="24" t="n">
        <f aca="false">S12-S24</f>
        <v>11851.4169253333</v>
      </c>
      <c r="T26" s="24" t="n">
        <f aca="false">T12-T24</f>
        <v>31074.0651133333</v>
      </c>
      <c r="U26" s="24" t="n">
        <f aca="false">U12-U24</f>
        <v>19611.5099786667</v>
      </c>
      <c r="V26" s="24" t="n">
        <f aca="false">V12-V24</f>
        <v>20364.0272</v>
      </c>
      <c r="W26" s="24" t="n">
        <f aca="false">W12-W24</f>
        <v>21116.5444213333</v>
      </c>
      <c r="X26" s="24" t="n">
        <f aca="false">X12-X24</f>
        <v>21869.0616426667</v>
      </c>
      <c r="Y26" s="24" t="n">
        <f aca="false">Y12-Y24</f>
        <v>22621.578864</v>
      </c>
      <c r="Z26" s="24" t="n">
        <f aca="false">Z12-Z24</f>
        <v>23374.0960853333</v>
      </c>
    </row>
    <row r="27" customFormat="false" ht="15" hidden="false" customHeight="false" outlineLevel="0" collapsed="false">
      <c r="A27" s="9" t="s">
        <v>392</v>
      </c>
      <c r="B27" s="20" t="n">
        <f aca="false">B26</f>
        <v>-80291.665</v>
      </c>
      <c r="C27" s="20" t="n">
        <f aca="false">B27+C26</f>
        <v>-82759.165</v>
      </c>
      <c r="D27" s="20" t="n">
        <f aca="false">C27+D26</f>
        <v>-92710.865</v>
      </c>
      <c r="E27" s="20" t="n">
        <f aca="false">D27+E26</f>
        <v>-90071.2340333333</v>
      </c>
      <c r="F27" s="20" t="n">
        <f aca="false">E27+F26</f>
        <v>-87055.344456</v>
      </c>
      <c r="G27" s="20" t="n">
        <f aca="false">F27+G26</f>
        <v>-83663.196268</v>
      </c>
      <c r="H27" s="20" t="n">
        <f aca="false">G27+H26</f>
        <v>-79894.7894693333</v>
      </c>
      <c r="I27" s="20" t="n">
        <f aca="false">H27+I26</f>
        <v>-75750.12406</v>
      </c>
      <c r="J27" s="20" t="n">
        <f aca="false">I27+J26</f>
        <v>-71229.20004</v>
      </c>
      <c r="K27" s="20" t="n">
        <f aca="false">J27+K26</f>
        <v>-66332.0174093333</v>
      </c>
      <c r="L27" s="20" t="n">
        <f aca="false">K27+L26</f>
        <v>-61058.576168</v>
      </c>
      <c r="M27" s="20" t="n">
        <f aca="false">L27+M26</f>
        <v>-55408.876316</v>
      </c>
      <c r="N27" s="20" t="n">
        <f aca="false">M27+N26</f>
        <v>-56107.6178533333</v>
      </c>
      <c r="O27" s="20" t="n">
        <f aca="false">N27+O26</f>
        <v>-41387.4698133333</v>
      </c>
      <c r="P27" s="20" t="n">
        <f aca="false">O27+P26</f>
        <v>-25914.804552</v>
      </c>
      <c r="Q27" s="20" t="n">
        <f aca="false">P27+Q26</f>
        <v>-9689.62206933331</v>
      </c>
      <c r="R27" s="20" t="n">
        <f aca="false">Q27+R26</f>
        <v>7288.07763466669</v>
      </c>
      <c r="S27" s="20" t="n">
        <f aca="false">R27+S26</f>
        <v>19139.49456</v>
      </c>
      <c r="T27" s="20" t="n">
        <f aca="false">S27+T26</f>
        <v>50213.5596733334</v>
      </c>
      <c r="U27" s="20" t="n">
        <f aca="false">T27+U26</f>
        <v>69825.069652</v>
      </c>
      <c r="V27" s="20" t="n">
        <f aca="false">U27+V26</f>
        <v>90189.096852</v>
      </c>
      <c r="W27" s="20" t="n">
        <f aca="false">V27+W26</f>
        <v>111305.641273333</v>
      </c>
      <c r="X27" s="20" t="n">
        <f aca="false">W27+X26</f>
        <v>133174.702916</v>
      </c>
      <c r="Y27" s="20" t="n">
        <f aca="false">X27+Y26</f>
        <v>155796.28178</v>
      </c>
      <c r="Z27" s="20" t="n">
        <f aca="false">Y27+Z26</f>
        <v>179170.377865333</v>
      </c>
    </row>
    <row r="28" customFormat="false" ht="15" hidden="false" customHeight="false" outlineLevel="0" collapsed="false">
      <c r="A28" s="9" t="s">
        <v>393</v>
      </c>
      <c r="B28" s="30" t="n">
        <f aca="false">1/(1+((1+Supuestos!$B$61)^(1/12)-1))^B4</f>
        <v>1</v>
      </c>
      <c r="C28" s="30" t="n">
        <f aca="false">1/(1+((1+Supuestos!$B$61)^(1/12)-1))^C4</f>
        <v>0.988420733228369</v>
      </c>
      <c r="D28" s="30" t="n">
        <f aca="false">1/(1+((1+Supuestos!$B$61)^(1/12)-1))^D4</f>
        <v>0.976975545875707</v>
      </c>
      <c r="E28" s="30" t="n">
        <f aca="false">1/(1+((1+Supuestos!$B$61)^(1/12)-1))^E4</f>
        <v>0.965662885400652</v>
      </c>
      <c r="F28" s="30" t="n">
        <f aca="false">1/(1+((1+Supuestos!$B$61)^(1/12)-1))^F4</f>
        <v>0.954481217239135</v>
      </c>
      <c r="G28" s="30" t="n">
        <f aca="false">1/(1+((1+Supuestos!$B$61)^(1/12)-1))^G4</f>
        <v>0.943429024596212</v>
      </c>
      <c r="H28" s="30" t="n">
        <f aca="false">1/(1+((1+Supuestos!$B$61)^(1/12)-1))^H4</f>
        <v>0.932504808240313</v>
      </c>
      <c r="I28" s="30" t="n">
        <f aca="false">1/(1+((1+Supuestos!$B$61)^(1/12)-1))^I4</f>
        <v>0.92170708629987</v>
      </c>
      <c r="J28" s="30" t="n">
        <f aca="false">1/(1+((1+Supuestos!$B$61)^(1/12)-1))^J4</f>
        <v>0.911034394062301</v>
      </c>
      <c r="K28" s="30" t="n">
        <f aca="false">1/(1+((1+Supuestos!$B$61)^(1/12)-1))^K4</f>
        <v>0.900485283775323</v>
      </c>
      <c r="L28" s="30" t="n">
        <f aca="false">1/(1+((1+Supuestos!$B$61)^(1/12)-1))^L4</f>
        <v>0.890058324450561</v>
      </c>
      <c r="M28" s="30" t="n">
        <f aca="false">1/(1+((1+Supuestos!$B$61)^(1/12)-1))^M4</f>
        <v>0.879752101669437</v>
      </c>
      <c r="N28" s="30" t="n">
        <f aca="false">1/(1+((1+Supuestos!$B$61)^(1/12)-1))^N4</f>
        <v>0.869565217391303</v>
      </c>
      <c r="O28" s="30" t="n">
        <f aca="false">1/(1+((1+Supuestos!$B$61)^(1/12)-1))^O4</f>
        <v>0.859496289763798</v>
      </c>
      <c r="P28" s="30" t="n">
        <f aca="false">1/(1+((1+Supuestos!$B$61)^(1/12)-1))^P4</f>
        <v>0.849543952935396</v>
      </c>
      <c r="Q28" s="30" t="n">
        <f aca="false">1/(1+((1+Supuestos!$B$61)^(1/12)-1))^Q4</f>
        <v>0.839706856870132</v>
      </c>
      <c r="R28" s="30" t="n">
        <f aca="false">1/(1+((1+Supuestos!$B$61)^(1/12)-1))^R4</f>
        <v>0.829983667164465</v>
      </c>
      <c r="S28" s="30" t="n">
        <f aca="false">1/(1+((1+Supuestos!$B$61)^(1/12)-1))^S4</f>
        <v>0.820373064866271</v>
      </c>
      <c r="T28" s="30" t="n">
        <f aca="false">1/(1+((1+Supuestos!$B$61)^(1/12)-1))^T4</f>
        <v>0.810873746295924</v>
      </c>
      <c r="U28" s="30" t="n">
        <f aca="false">1/(1+((1+Supuestos!$B$61)^(1/12)-1))^U4</f>
        <v>0.801484422869451</v>
      </c>
      <c r="V28" s="30" t="n">
        <f aca="false">1/(1+((1+Supuestos!$B$61)^(1/12)-1))^V4</f>
        <v>0.792203820923739</v>
      </c>
      <c r="W28" s="30" t="n">
        <f aca="false">1/(1+((1+Supuestos!$B$61)^(1/12)-1))^W4</f>
        <v>0.783030681543758</v>
      </c>
      <c r="X28" s="30" t="n">
        <f aca="false">1/(1+((1+Supuestos!$B$61)^(1/12)-1))^X4</f>
        <v>0.773963760391791</v>
      </c>
      <c r="Y28" s="30" t="n">
        <f aca="false">1/(1+((1+Supuestos!$B$61)^(1/12)-1))^Y4</f>
        <v>0.76500182753864</v>
      </c>
      <c r="Z28" s="30" t="n">
        <f aca="false">1/(1+((1+Supuestos!$B$61)^(1/12)-1))^Z4</f>
        <v>0.756143667296785</v>
      </c>
    </row>
    <row r="29" customFormat="false" ht="15" hidden="false" customHeight="false" outlineLevel="0" collapsed="false">
      <c r="A29" s="9" t="s">
        <v>394</v>
      </c>
      <c r="B29" s="20" t="n">
        <f aca="false">B26*B28</f>
        <v>-80291.665</v>
      </c>
      <c r="C29" s="20" t="n">
        <f aca="false">C26*C28</f>
        <v>-2438.928159241</v>
      </c>
      <c r="D29" s="20" t="n">
        <f aca="false">D26*D28</f>
        <v>-9722.56753989127</v>
      </c>
      <c r="E29" s="20" t="n">
        <f aca="false">E26*E28</f>
        <v>2548.99365566425</v>
      </c>
      <c r="F29" s="20" t="n">
        <f aca="false">F26*F28</f>
        <v>2878.60995483194</v>
      </c>
      <c r="G29" s="20" t="n">
        <f aca="false">G26*G28</f>
        <v>3200.25105629065</v>
      </c>
      <c r="H29" s="20" t="n">
        <f aca="false">H26*H28</f>
        <v>3514.05745916215</v>
      </c>
      <c r="I29" s="20" t="n">
        <f aca="false">I26*I28</f>
        <v>3820.16747812448</v>
      </c>
      <c r="J29" s="20" t="n">
        <f aca="false">J26*J28</f>
        <v>4118.7172751624</v>
      </c>
      <c r="K29" s="20" t="n">
        <f aca="false">K26*K28</f>
        <v>4409.84089087546</v>
      </c>
      <c r="L29" s="20" t="n">
        <f aca="false">L26*L28</f>
        <v>4693.67027534963</v>
      </c>
      <c r="M29" s="20" t="n">
        <f aca="false">M26*M28</f>
        <v>4970.33531859851</v>
      </c>
      <c r="N29" s="20" t="n">
        <f aca="false">N26*N28</f>
        <v>-607.601336811592</v>
      </c>
      <c r="O29" s="20" t="n">
        <f aca="false">O26*O28</f>
        <v>12651.9126251538</v>
      </c>
      <c r="P29" s="20" t="n">
        <f aca="false">P26*P28</f>
        <v>13144.7092085593</v>
      </c>
      <c r="Q29" s="20" t="n">
        <f aca="false">Q26*Q28</f>
        <v>13624.3969846643</v>
      </c>
      <c r="R29" s="20" t="n">
        <f aca="false">R26*R28</f>
        <v>14091.213460343</v>
      </c>
      <c r="S29" s="20" t="n">
        <f aca="false">S26*S28</f>
        <v>9722.5832260437</v>
      </c>
      <c r="T29" s="20" t="n">
        <f aca="false">T26*T28</f>
        <v>25197.1435910921</v>
      </c>
      <c r="U29" s="20" t="n">
        <f aca="false">U26*U28</f>
        <v>15718.3197568501</v>
      </c>
      <c r="V29" s="20" t="n">
        <f aca="false">V26*V28</f>
        <v>16132.460157235</v>
      </c>
      <c r="W29" s="20" t="n">
        <f aca="false">W26*W28</f>
        <v>16534.9021700857</v>
      </c>
      <c r="X29" s="20" t="n">
        <f aca="false">X26*X28</f>
        <v>16925.8611851982</v>
      </c>
      <c r="Y29" s="20" t="n">
        <f aca="false">Y26*Y28</f>
        <v>17305.5491727695</v>
      </c>
      <c r="Z29" s="20" t="n">
        <f aca="false">Z26*Z28</f>
        <v>17674.1747337114</v>
      </c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" hidden="false" customHeight="false" outlineLevel="0" collapsed="false">
      <c r="A31" s="9" t="s">
        <v>395</v>
      </c>
      <c r="B31" s="20" t="n">
        <f aca="false">0</f>
        <v>0</v>
      </c>
      <c r="C31" s="20" t="n">
        <f aca="false">Supuestos!$B$18*52/12*Supuestos!$B$15</f>
        <v>6933.33333333333</v>
      </c>
      <c r="D31" s="20" t="n">
        <f aca="false">Supuestos!$B$18*52/12*Supuestos!$B$15</f>
        <v>6933.33333333333</v>
      </c>
      <c r="E31" s="20" t="n">
        <f aca="false">Supuestos!$B$18*52/12*Supuestos!$B$15</f>
        <v>6933.33333333333</v>
      </c>
      <c r="F31" s="20" t="n">
        <f aca="false">Supuestos!$B$18*52/12*Supuestos!$B$15</f>
        <v>6933.33333333333</v>
      </c>
      <c r="G31" s="20" t="n">
        <f aca="false">Supuestos!$B$18*52/12*Supuestos!$B$15</f>
        <v>6933.33333333333</v>
      </c>
      <c r="H31" s="20" t="n">
        <f aca="false">Supuestos!$B$18*52/12*Supuestos!$B$15</f>
        <v>6933.33333333333</v>
      </c>
      <c r="I31" s="20" t="n">
        <f aca="false">Supuestos!$B$18*52/12*Supuestos!$B$15</f>
        <v>6933.33333333333</v>
      </c>
      <c r="J31" s="20" t="n">
        <f aca="false">Supuestos!$B$18*52/12*Supuestos!$B$15</f>
        <v>6933.33333333333</v>
      </c>
      <c r="K31" s="20" t="n">
        <f aca="false">Supuestos!$B$18*52/12*Supuestos!$B$15</f>
        <v>6933.33333333333</v>
      </c>
      <c r="L31" s="20" t="n">
        <f aca="false">Supuestos!$B$18*52/12*Supuestos!$B$15</f>
        <v>6933.33333333333</v>
      </c>
      <c r="M31" s="20" t="n">
        <f aca="false">Supuestos!$B$18*52/12*Supuestos!$B$15</f>
        <v>6933.33333333333</v>
      </c>
      <c r="N31" s="20" t="n">
        <f aca="false">Supuestos!$B$18*52/12*Supuestos!$B$15</f>
        <v>6933.33333333333</v>
      </c>
      <c r="O31" s="20" t="n">
        <f aca="false">Supuestos!$B$18*52/12*Supuestos!$B$15</f>
        <v>6933.33333333333</v>
      </c>
      <c r="P31" s="20" t="n">
        <f aca="false">Supuestos!$B$18*52/12*Supuestos!$B$15</f>
        <v>6933.33333333333</v>
      </c>
      <c r="Q31" s="20" t="n">
        <f aca="false">Supuestos!$B$18*52/12*Supuestos!$B$15</f>
        <v>6933.33333333333</v>
      </c>
      <c r="R31" s="20" t="n">
        <f aca="false">Supuestos!$B$18*52/12*Supuestos!$B$15</f>
        <v>6933.33333333333</v>
      </c>
      <c r="S31" s="20" t="n">
        <f aca="false">Supuestos!$B$18*52/12*Supuestos!$B$15</f>
        <v>6933.33333333333</v>
      </c>
      <c r="T31" s="20" t="n">
        <f aca="false">Supuestos!$B$18*52/12*Supuestos!$B$15</f>
        <v>6933.33333333333</v>
      </c>
      <c r="U31" s="20" t="n">
        <f aca="false">Supuestos!$B$18*52/12*Supuestos!$B$15</f>
        <v>6933.33333333333</v>
      </c>
      <c r="V31" s="20" t="n">
        <f aca="false">Supuestos!$B$18*52/12*Supuestos!$B$15</f>
        <v>6933.33333333333</v>
      </c>
      <c r="W31" s="20" t="n">
        <f aca="false">Supuestos!$B$18*52/12*Supuestos!$B$15</f>
        <v>6933.33333333333</v>
      </c>
      <c r="X31" s="20" t="n">
        <f aca="false">Supuestos!$B$18*52/12*Supuestos!$B$15</f>
        <v>6933.33333333333</v>
      </c>
      <c r="Y31" s="20" t="n">
        <f aca="false">Supuestos!$B$18*52/12*Supuestos!$B$15</f>
        <v>6933.33333333333</v>
      </c>
      <c r="Z31" s="20" t="n">
        <f aca="false">Supuestos!$B$18*52/12*Supuestos!$B$15</f>
        <v>6933.33333333333</v>
      </c>
    </row>
    <row r="32" customFormat="false" ht="15" hidden="false" customHeight="false" outlineLevel="0" collapsed="false">
      <c r="A32" s="23" t="s">
        <v>396</v>
      </c>
      <c r="B32" s="24" t="n">
        <f aca="false">B26-B31</f>
        <v>-80291.665</v>
      </c>
      <c r="C32" s="24" t="n">
        <f aca="false">C26-C31</f>
        <v>-9400.83333333333</v>
      </c>
      <c r="D32" s="24" t="n">
        <f aca="false">D26-D31</f>
        <v>-16885.0333333333</v>
      </c>
      <c r="E32" s="24" t="n">
        <f aca="false">E26-E31</f>
        <v>-4293.70236666667</v>
      </c>
      <c r="F32" s="24" t="n">
        <f aca="false">F26-F31</f>
        <v>-3917.443756</v>
      </c>
      <c r="G32" s="24" t="n">
        <f aca="false">G26-G31</f>
        <v>-3541.18514533333</v>
      </c>
      <c r="H32" s="24" t="n">
        <f aca="false">H26-H31</f>
        <v>-3164.92653466667</v>
      </c>
      <c r="I32" s="24" t="n">
        <f aca="false">I26-I31</f>
        <v>-2788.667924</v>
      </c>
      <c r="J32" s="24" t="n">
        <f aca="false">J26-J31</f>
        <v>-2412.40931333333</v>
      </c>
      <c r="K32" s="24" t="n">
        <f aca="false">K26-K31</f>
        <v>-2036.15070266667</v>
      </c>
      <c r="L32" s="24" t="n">
        <f aca="false">L26-L31</f>
        <v>-1659.892092</v>
      </c>
      <c r="M32" s="24" t="n">
        <f aca="false">M26-M31</f>
        <v>-1283.63348133333</v>
      </c>
      <c r="N32" s="24" t="n">
        <f aca="false">N26-N31</f>
        <v>-7632.07487066667</v>
      </c>
      <c r="O32" s="24" t="n">
        <f aca="false">O26-O31</f>
        <v>7786.81470666667</v>
      </c>
      <c r="P32" s="24" t="n">
        <f aca="false">P26-P31</f>
        <v>8539.331928</v>
      </c>
      <c r="Q32" s="24" t="n">
        <f aca="false">Q26-Q31</f>
        <v>9291.84914933333</v>
      </c>
      <c r="R32" s="24" t="n">
        <f aca="false">R26-R31</f>
        <v>10044.3663706667</v>
      </c>
      <c r="S32" s="24" t="n">
        <f aca="false">S26-S31</f>
        <v>4918.083592</v>
      </c>
      <c r="T32" s="24" t="n">
        <f aca="false">T26-T31</f>
        <v>24140.73178</v>
      </c>
      <c r="U32" s="24" t="n">
        <f aca="false">U26-U31</f>
        <v>12678.1766453333</v>
      </c>
      <c r="V32" s="24" t="n">
        <f aca="false">V26-V31</f>
        <v>13430.6938666667</v>
      </c>
      <c r="W32" s="24" t="n">
        <f aca="false">W26-W31</f>
        <v>14183.211088</v>
      </c>
      <c r="X32" s="24" t="n">
        <f aca="false">X26-X31</f>
        <v>14935.7283093333</v>
      </c>
      <c r="Y32" s="24" t="n">
        <f aca="false">Y26-Y31</f>
        <v>15688.2455306667</v>
      </c>
      <c r="Z32" s="24" t="n">
        <f aca="false">Z26-Z31</f>
        <v>16440.762752</v>
      </c>
    </row>
    <row r="33" customFormat="false" ht="15" hidden="false" customHeight="false" outlineLevel="0" collapsed="false">
      <c r="A33" s="9" t="s">
        <v>397</v>
      </c>
      <c r="B33" s="20" t="n">
        <f aca="false">B32</f>
        <v>-80291.665</v>
      </c>
      <c r="C33" s="20" t="n">
        <f aca="false">B33+C32</f>
        <v>-89692.4983333333</v>
      </c>
      <c r="D33" s="20" t="n">
        <f aca="false">C33+D32</f>
        <v>-106577.531666667</v>
      </c>
      <c r="E33" s="20" t="n">
        <f aca="false">D33+E32</f>
        <v>-110871.234033333</v>
      </c>
      <c r="F33" s="20" t="n">
        <f aca="false">E33+F32</f>
        <v>-114788.677789333</v>
      </c>
      <c r="G33" s="20" t="n">
        <f aca="false">F33+G32</f>
        <v>-118329.862934667</v>
      </c>
      <c r="H33" s="20" t="n">
        <f aca="false">G33+H32</f>
        <v>-121494.789469333</v>
      </c>
      <c r="I33" s="20" t="n">
        <f aca="false">H33+I32</f>
        <v>-124283.457393333</v>
      </c>
      <c r="J33" s="20" t="n">
        <f aca="false">I33+J32</f>
        <v>-126695.866706667</v>
      </c>
      <c r="K33" s="20" t="n">
        <f aca="false">J33+K32</f>
        <v>-128732.017409333</v>
      </c>
      <c r="L33" s="20" t="n">
        <f aca="false">K33+L32</f>
        <v>-130391.909501333</v>
      </c>
      <c r="M33" s="20" t="n">
        <f aca="false">L33+M32</f>
        <v>-131675.542982667</v>
      </c>
      <c r="N33" s="20" t="n">
        <f aca="false">M33+N32</f>
        <v>-139307.617853333</v>
      </c>
      <c r="O33" s="20" t="n">
        <f aca="false">N33+O32</f>
        <v>-131520.803146667</v>
      </c>
      <c r="P33" s="20" t="n">
        <f aca="false">O33+P32</f>
        <v>-122981.471218667</v>
      </c>
      <c r="Q33" s="20" t="n">
        <f aca="false">P33+Q32</f>
        <v>-113689.622069333</v>
      </c>
      <c r="R33" s="20" t="n">
        <f aca="false">Q33+R32</f>
        <v>-103645.255698667</v>
      </c>
      <c r="S33" s="20" t="n">
        <f aca="false">R33+S32</f>
        <v>-98727.1721066667</v>
      </c>
      <c r="T33" s="20" t="n">
        <f aca="false">S33+T32</f>
        <v>-74586.4403266667</v>
      </c>
      <c r="U33" s="20" t="n">
        <f aca="false">T33+U32</f>
        <v>-61908.2636813333</v>
      </c>
      <c r="V33" s="20" t="n">
        <f aca="false">U33+V32</f>
        <v>-48477.5698146667</v>
      </c>
      <c r="W33" s="20" t="n">
        <f aca="false">V33+W32</f>
        <v>-34294.3587266666</v>
      </c>
      <c r="X33" s="20" t="n">
        <f aca="false">W33+X32</f>
        <v>-19358.6304173333</v>
      </c>
      <c r="Y33" s="20" t="n">
        <f aca="false">X33+Y32</f>
        <v>-3670.38488666664</v>
      </c>
      <c r="Z33" s="20" t="n">
        <f aca="false">Y33+Z32</f>
        <v>12770.3778653334</v>
      </c>
    </row>
    <row r="34" customFormat="false" ht="15" hidden="false" customHeight="false" outlineLevel="0" collapsed="false">
      <c r="A34" s="9" t="s">
        <v>398</v>
      </c>
      <c r="B34" s="20" t="n">
        <f aca="false">B32*B28</f>
        <v>-80291.665</v>
      </c>
      <c r="C34" s="20" t="n">
        <f aca="false">C32*C28</f>
        <v>-9291.97857629103</v>
      </c>
      <c r="D34" s="20" t="n">
        <f aca="false">D32*D28</f>
        <v>-16496.2646579628</v>
      </c>
      <c r="E34" s="20" t="n">
        <f aca="false">E32*E28</f>
        <v>-4146.26901644694</v>
      </c>
      <c r="F34" s="20" t="n">
        <f aca="false">F32*F28</f>
        <v>-3739.12648469273</v>
      </c>
      <c r="G34" s="20" t="n">
        <f aca="false">G32*G28</f>
        <v>-3340.85684757642</v>
      </c>
      <c r="H34" s="20" t="n">
        <f aca="false">H32*H28</f>
        <v>-2951.30921130402</v>
      </c>
      <c r="I34" s="20" t="n">
        <f aca="false">I32*I28</f>
        <v>-2570.33498688795</v>
      </c>
      <c r="J34" s="20" t="n">
        <f aca="false">J32*J28</f>
        <v>-2197.78785700289</v>
      </c>
      <c r="K34" s="20" t="n">
        <f aca="false">K32*K28</f>
        <v>-1833.52374330012</v>
      </c>
      <c r="L34" s="20" t="n">
        <f aca="false">L32*L28</f>
        <v>-1477.40077417426</v>
      </c>
      <c r="M34" s="20" t="n">
        <f aca="false">M32*M28</f>
        <v>-1129.27925297626</v>
      </c>
      <c r="N34" s="20" t="n">
        <f aca="false">N32*N28</f>
        <v>-6636.58684405796</v>
      </c>
      <c r="O34" s="20" t="n">
        <f aca="false">O32*O28</f>
        <v>6692.73834945818</v>
      </c>
      <c r="P34" s="20" t="n">
        <f aca="false">P32*P28</f>
        <v>7254.53780154056</v>
      </c>
      <c r="Q34" s="20" t="n">
        <f aca="false">Q32*Q28</f>
        <v>7802.4294436981</v>
      </c>
      <c r="R34" s="20" t="n">
        <f aca="false">R32*R28</f>
        <v>8336.66003466935</v>
      </c>
      <c r="S34" s="20" t="n">
        <f aca="false">S32*S28</f>
        <v>4034.66330963756</v>
      </c>
      <c r="T34" s="20" t="n">
        <f aca="false">T32*T28</f>
        <v>19575.0856167737</v>
      </c>
      <c r="U34" s="20" t="n">
        <f aca="false">U32*U28</f>
        <v>10161.3610916219</v>
      </c>
      <c r="V34" s="20" t="n">
        <f aca="false">V32*V28</f>
        <v>10639.8469988304</v>
      </c>
      <c r="W34" s="20" t="n">
        <f aca="false">W32*W28</f>
        <v>11105.8894447156</v>
      </c>
      <c r="X34" s="20" t="n">
        <f aca="false">X32*X28</f>
        <v>11559.7124464818</v>
      </c>
      <c r="Y34" s="20" t="n">
        <f aca="false">Y32*Y28</f>
        <v>12001.5365018349</v>
      </c>
      <c r="Z34" s="20" t="n">
        <f aca="false">Z32*Z28</f>
        <v>12431.5786404537</v>
      </c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" hidden="false" customHeight="false" outlineLevel="0" collapsed="false">
      <c r="A36" s="9" t="s">
        <v>399</v>
      </c>
      <c r="B36" s="20" t="n">
        <f aca="false">Desarrollo!$K$23</f>
        <v>845366.4375</v>
      </c>
      <c r="C36" s="20" t="n">
        <f aca="false">0</f>
        <v>0</v>
      </c>
      <c r="D36" s="20" t="n">
        <f aca="false">0</f>
        <v>0</v>
      </c>
      <c r="E36" s="20" t="n">
        <f aca="false">0</f>
        <v>0</v>
      </c>
      <c r="F36" s="20" t="n">
        <f aca="false">0</f>
        <v>0</v>
      </c>
      <c r="G36" s="20" t="n">
        <f aca="false">0</f>
        <v>0</v>
      </c>
      <c r="H36" s="20" t="n">
        <f aca="false">0</f>
        <v>0</v>
      </c>
      <c r="I36" s="20" t="n">
        <f aca="false">0</f>
        <v>0</v>
      </c>
      <c r="J36" s="20" t="n">
        <f aca="false">0</f>
        <v>0</v>
      </c>
      <c r="K36" s="20" t="n">
        <f aca="false">0</f>
        <v>0</v>
      </c>
      <c r="L36" s="20" t="n">
        <f aca="false">0</f>
        <v>0</v>
      </c>
      <c r="M36" s="20" t="n">
        <f aca="false">0</f>
        <v>0</v>
      </c>
      <c r="N36" s="20" t="n">
        <f aca="false">0</f>
        <v>0</v>
      </c>
      <c r="O36" s="20" t="n">
        <f aca="false">0</f>
        <v>0</v>
      </c>
      <c r="P36" s="20" t="n">
        <f aca="false">0</f>
        <v>0</v>
      </c>
      <c r="Q36" s="20" t="n">
        <f aca="false">0</f>
        <v>0</v>
      </c>
      <c r="R36" s="20" t="n">
        <f aca="false">0</f>
        <v>0</v>
      </c>
      <c r="S36" s="20" t="n">
        <f aca="false">0</f>
        <v>0</v>
      </c>
      <c r="T36" s="20" t="n">
        <f aca="false">0</f>
        <v>0</v>
      </c>
      <c r="U36" s="20" t="n">
        <f aca="false">0</f>
        <v>0</v>
      </c>
      <c r="V36" s="20" t="n">
        <f aca="false">0</f>
        <v>0</v>
      </c>
      <c r="W36" s="20" t="n">
        <f aca="false">0</f>
        <v>0</v>
      </c>
      <c r="X36" s="20" t="n">
        <f aca="false">0</f>
        <v>0</v>
      </c>
      <c r="Y36" s="20" t="n">
        <f aca="false">0</f>
        <v>0</v>
      </c>
      <c r="Z36" s="20" t="n">
        <f aca="false">0</f>
        <v>0</v>
      </c>
    </row>
    <row r="37" customFormat="false" ht="15" hidden="false" customHeight="false" outlineLevel="0" collapsed="false">
      <c r="A37" s="23" t="s">
        <v>400</v>
      </c>
      <c r="B37" s="24" t="n">
        <f aca="false">B32-B36</f>
        <v>-925658.1025</v>
      </c>
      <c r="C37" s="24" t="n">
        <f aca="false">C32-C36</f>
        <v>-9400.83333333333</v>
      </c>
      <c r="D37" s="24" t="n">
        <f aca="false">D32-D36</f>
        <v>-16885.0333333333</v>
      </c>
      <c r="E37" s="24" t="n">
        <f aca="false">E32-E36</f>
        <v>-4293.70236666667</v>
      </c>
      <c r="F37" s="24" t="n">
        <f aca="false">F32-F36</f>
        <v>-3917.443756</v>
      </c>
      <c r="G37" s="24" t="n">
        <f aca="false">G32-G36</f>
        <v>-3541.18514533333</v>
      </c>
      <c r="H37" s="24" t="n">
        <f aca="false">H32-H36</f>
        <v>-3164.92653466667</v>
      </c>
      <c r="I37" s="24" t="n">
        <f aca="false">I32-I36</f>
        <v>-2788.667924</v>
      </c>
      <c r="J37" s="24" t="n">
        <f aca="false">J32-J36</f>
        <v>-2412.40931333333</v>
      </c>
      <c r="K37" s="24" t="n">
        <f aca="false">K32-K36</f>
        <v>-2036.15070266667</v>
      </c>
      <c r="L37" s="24" t="n">
        <f aca="false">L32-L36</f>
        <v>-1659.892092</v>
      </c>
      <c r="M37" s="24" t="n">
        <f aca="false">M32-M36</f>
        <v>-1283.63348133333</v>
      </c>
      <c r="N37" s="24" t="n">
        <f aca="false">N32-N36</f>
        <v>-7632.07487066667</v>
      </c>
      <c r="O37" s="24" t="n">
        <f aca="false">O32-O36</f>
        <v>7786.81470666667</v>
      </c>
      <c r="P37" s="24" t="n">
        <f aca="false">P32-P36</f>
        <v>8539.331928</v>
      </c>
      <c r="Q37" s="24" t="n">
        <f aca="false">Q32-Q36</f>
        <v>9291.84914933333</v>
      </c>
      <c r="R37" s="24" t="n">
        <f aca="false">R32-R36</f>
        <v>10044.3663706667</v>
      </c>
      <c r="S37" s="24" t="n">
        <f aca="false">S32-S36</f>
        <v>4918.083592</v>
      </c>
      <c r="T37" s="24" t="n">
        <f aca="false">T32-T36</f>
        <v>24140.73178</v>
      </c>
      <c r="U37" s="24" t="n">
        <f aca="false">U32-U36</f>
        <v>12678.1766453333</v>
      </c>
      <c r="V37" s="24" t="n">
        <f aca="false">V32-V36</f>
        <v>13430.6938666667</v>
      </c>
      <c r="W37" s="24" t="n">
        <f aca="false">W32-W36</f>
        <v>14183.211088</v>
      </c>
      <c r="X37" s="24" t="n">
        <f aca="false">X32-X36</f>
        <v>14935.7283093333</v>
      </c>
      <c r="Y37" s="24" t="n">
        <f aca="false">Y32-Y36</f>
        <v>15688.2455306667</v>
      </c>
      <c r="Z37" s="24" t="n">
        <f aca="false">Z32-Z36</f>
        <v>16440.762752</v>
      </c>
    </row>
    <row r="38" customFormat="false" ht="15" hidden="false" customHeight="false" outlineLevel="0" collapsed="false">
      <c r="A38" s="9" t="s">
        <v>401</v>
      </c>
      <c r="B38" s="20" t="n">
        <f aca="false">B37</f>
        <v>-925658.1025</v>
      </c>
      <c r="C38" s="20" t="n">
        <f aca="false">B38+C37</f>
        <v>-935058.935833333</v>
      </c>
      <c r="D38" s="20" t="n">
        <f aca="false">C38+D37</f>
        <v>-951943.969166667</v>
      </c>
      <c r="E38" s="20" t="n">
        <f aca="false">D38+E37</f>
        <v>-956237.671533333</v>
      </c>
      <c r="F38" s="20" t="n">
        <f aca="false">E38+F37</f>
        <v>-960155.115289333</v>
      </c>
      <c r="G38" s="20" t="n">
        <f aca="false">F38+G37</f>
        <v>-963696.300434667</v>
      </c>
      <c r="H38" s="20" t="n">
        <f aca="false">G38+H37</f>
        <v>-966861.226969333</v>
      </c>
      <c r="I38" s="20" t="n">
        <f aca="false">H38+I37</f>
        <v>-969649.894893333</v>
      </c>
      <c r="J38" s="20" t="n">
        <f aca="false">I38+J37</f>
        <v>-972062.304206667</v>
      </c>
      <c r="K38" s="20" t="n">
        <f aca="false">J38+K37</f>
        <v>-974098.454909333</v>
      </c>
      <c r="L38" s="20" t="n">
        <f aca="false">K38+L37</f>
        <v>-975758.347001333</v>
      </c>
      <c r="M38" s="20" t="n">
        <f aca="false">L38+M37</f>
        <v>-977041.980482667</v>
      </c>
      <c r="N38" s="20" t="n">
        <f aca="false">M38+N37</f>
        <v>-984674.055353334</v>
      </c>
      <c r="O38" s="20" t="n">
        <f aca="false">N38+O37</f>
        <v>-976887.240646667</v>
      </c>
      <c r="P38" s="20" t="n">
        <f aca="false">O38+P37</f>
        <v>-968347.908718667</v>
      </c>
      <c r="Q38" s="20" t="n">
        <f aca="false">P38+Q37</f>
        <v>-959056.059569334</v>
      </c>
      <c r="R38" s="20" t="n">
        <f aca="false">Q38+R37</f>
        <v>-949011.693198667</v>
      </c>
      <c r="S38" s="20" t="n">
        <f aca="false">R38+S37</f>
        <v>-944093.609606667</v>
      </c>
      <c r="T38" s="20" t="n">
        <f aca="false">S38+T37</f>
        <v>-919952.877826667</v>
      </c>
      <c r="U38" s="20" t="n">
        <f aca="false">T38+U37</f>
        <v>-907274.701181334</v>
      </c>
      <c r="V38" s="20" t="n">
        <f aca="false">U38+V37</f>
        <v>-893844.007314667</v>
      </c>
      <c r="W38" s="20" t="n">
        <f aca="false">V38+W37</f>
        <v>-879660.796226667</v>
      </c>
      <c r="X38" s="20" t="n">
        <f aca="false">W38+X37</f>
        <v>-864725.067917334</v>
      </c>
      <c r="Y38" s="20" t="n">
        <f aca="false">X38+Y37</f>
        <v>-849036.822386667</v>
      </c>
      <c r="Z38" s="20" t="n">
        <f aca="false">Y38+Z37</f>
        <v>-832596.059634667</v>
      </c>
    </row>
    <row r="39" customFormat="false" ht="15" hidden="false" customHeight="false" outlineLevel="0" collapsed="false">
      <c r="A39" s="9" t="s">
        <v>402</v>
      </c>
      <c r="B39" s="20" t="n">
        <f aca="false">B37*B28</f>
        <v>-925658.1025</v>
      </c>
      <c r="C39" s="20" t="n">
        <f aca="false">C37*C28</f>
        <v>-9291.97857629103</v>
      </c>
      <c r="D39" s="20" t="n">
        <f aca="false">D37*D28</f>
        <v>-16496.2646579628</v>
      </c>
      <c r="E39" s="20" t="n">
        <f aca="false">E37*E28</f>
        <v>-4146.26901644694</v>
      </c>
      <c r="F39" s="20" t="n">
        <f aca="false">F37*F28</f>
        <v>-3739.12648469273</v>
      </c>
      <c r="G39" s="20" t="n">
        <f aca="false">G37*G28</f>
        <v>-3340.85684757642</v>
      </c>
      <c r="H39" s="20" t="n">
        <f aca="false">H37*H28</f>
        <v>-2951.30921130402</v>
      </c>
      <c r="I39" s="20" t="n">
        <f aca="false">I37*I28</f>
        <v>-2570.33498688795</v>
      </c>
      <c r="J39" s="20" t="n">
        <f aca="false">J37*J28</f>
        <v>-2197.78785700289</v>
      </c>
      <c r="K39" s="20" t="n">
        <f aca="false">K37*K28</f>
        <v>-1833.52374330012</v>
      </c>
      <c r="L39" s="20" t="n">
        <f aca="false">L37*L28</f>
        <v>-1477.40077417426</v>
      </c>
      <c r="M39" s="20" t="n">
        <f aca="false">M37*M28</f>
        <v>-1129.27925297626</v>
      </c>
      <c r="N39" s="20" t="n">
        <f aca="false">N37*N28</f>
        <v>-6636.58684405796</v>
      </c>
      <c r="O39" s="20" t="n">
        <f aca="false">O37*O28</f>
        <v>6692.73834945818</v>
      </c>
      <c r="P39" s="20" t="n">
        <f aca="false">P37*P28</f>
        <v>7254.53780154056</v>
      </c>
      <c r="Q39" s="20" t="n">
        <f aca="false">Q37*Q28</f>
        <v>7802.4294436981</v>
      </c>
      <c r="R39" s="20" t="n">
        <f aca="false">R37*R28</f>
        <v>8336.66003466935</v>
      </c>
      <c r="S39" s="20" t="n">
        <f aca="false">S37*S28</f>
        <v>4034.66330963756</v>
      </c>
      <c r="T39" s="20" t="n">
        <f aca="false">T37*T28</f>
        <v>19575.0856167737</v>
      </c>
      <c r="U39" s="20" t="n">
        <f aca="false">U37*U28</f>
        <v>10161.3610916219</v>
      </c>
      <c r="V39" s="20" t="n">
        <f aca="false">V37*V28</f>
        <v>10639.8469988304</v>
      </c>
      <c r="W39" s="20" t="n">
        <f aca="false">W37*W28</f>
        <v>11105.8894447156</v>
      </c>
      <c r="X39" s="20" t="n">
        <f aca="false">X37*X28</f>
        <v>11559.7124464818</v>
      </c>
      <c r="Y39" s="20" t="n">
        <f aca="false">Y37*Y28</f>
        <v>12001.5365018349</v>
      </c>
      <c r="Z39" s="20" t="n">
        <f aca="false">Z37*Z28</f>
        <v>12431.5786404537</v>
      </c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" hidden="false" customHeight="false" outlineLevel="0" collapsed="false">
      <c r="A41" s="9" t="s">
        <v>403</v>
      </c>
      <c r="B41" s="37" t="n">
        <f aca="false">99</f>
        <v>99</v>
      </c>
      <c r="C41" s="37" t="n">
        <f aca="false">IF(C26&gt;0,C4,99)</f>
        <v>99</v>
      </c>
      <c r="D41" s="37" t="n">
        <f aca="false">IF(D26&gt;0,D4,99)</f>
        <v>99</v>
      </c>
      <c r="E41" s="37" t="n">
        <f aca="false">IF(E26&gt;0,E4,99)</f>
        <v>3</v>
      </c>
      <c r="F41" s="37" t="n">
        <f aca="false">IF(F26&gt;0,F4,99)</f>
        <v>4</v>
      </c>
      <c r="G41" s="37" t="n">
        <f aca="false">IF(G26&gt;0,G4,99)</f>
        <v>5</v>
      </c>
      <c r="H41" s="37" t="n">
        <f aca="false">IF(H26&gt;0,H4,99)</f>
        <v>6</v>
      </c>
      <c r="I41" s="37" t="n">
        <f aca="false">IF(I26&gt;0,I4,99)</f>
        <v>7</v>
      </c>
      <c r="J41" s="37" t="n">
        <f aca="false">IF(J26&gt;0,J4,99)</f>
        <v>8</v>
      </c>
      <c r="K41" s="37" t="n">
        <f aca="false">IF(K26&gt;0,K4,99)</f>
        <v>9</v>
      </c>
      <c r="L41" s="37" t="n">
        <f aca="false">IF(L26&gt;0,L4,99)</f>
        <v>10</v>
      </c>
      <c r="M41" s="37" t="n">
        <f aca="false">IF(M26&gt;0,M4,99)</f>
        <v>11</v>
      </c>
      <c r="N41" s="37" t="n">
        <f aca="false">IF(N26&gt;0,N4,99)</f>
        <v>99</v>
      </c>
      <c r="O41" s="37" t="n">
        <f aca="false">IF(O26&gt;0,O4,99)</f>
        <v>13</v>
      </c>
      <c r="P41" s="37" t="n">
        <f aca="false">IF(P26&gt;0,P4,99)</f>
        <v>14</v>
      </c>
      <c r="Q41" s="37" t="n">
        <f aca="false">IF(Q26&gt;0,Q4,99)</f>
        <v>15</v>
      </c>
      <c r="R41" s="37" t="n">
        <f aca="false">IF(R26&gt;0,R4,99)</f>
        <v>16</v>
      </c>
      <c r="S41" s="37" t="n">
        <f aca="false">IF(S26&gt;0,S4,99)</f>
        <v>17</v>
      </c>
      <c r="T41" s="37" t="n">
        <f aca="false">IF(T26&gt;0,T4,99)</f>
        <v>18</v>
      </c>
      <c r="U41" s="37" t="n">
        <f aca="false">IF(U26&gt;0,U4,99)</f>
        <v>19</v>
      </c>
      <c r="V41" s="37" t="n">
        <f aca="false">IF(V26&gt;0,V4,99)</f>
        <v>20</v>
      </c>
      <c r="W41" s="37" t="n">
        <f aca="false">IF(W26&gt;0,W4,99)</f>
        <v>21</v>
      </c>
      <c r="X41" s="37" t="n">
        <f aca="false">IF(X26&gt;0,X4,99)</f>
        <v>22</v>
      </c>
      <c r="Y41" s="37" t="n">
        <f aca="false">IF(Y26&gt;0,Y4,99)</f>
        <v>23</v>
      </c>
      <c r="Z41" s="37" t="n">
        <f aca="false">IF(Z26&gt;0,Z4,99)</f>
        <v>24</v>
      </c>
    </row>
    <row r="42" customFormat="false" ht="15" hidden="false" customHeight="false" outlineLevel="0" collapsed="false">
      <c r="A42" s="9" t="s">
        <v>404</v>
      </c>
      <c r="B42" s="37" t="n">
        <f aca="false">99</f>
        <v>99</v>
      </c>
      <c r="C42" s="37" t="n">
        <f aca="false">IF(C27&gt;=0,C4,99)</f>
        <v>99</v>
      </c>
      <c r="D42" s="37" t="n">
        <f aca="false">IF(D27&gt;=0,D4,99)</f>
        <v>99</v>
      </c>
      <c r="E42" s="37" t="n">
        <f aca="false">IF(E27&gt;=0,E4,99)</f>
        <v>99</v>
      </c>
      <c r="F42" s="37" t="n">
        <f aca="false">IF(F27&gt;=0,F4,99)</f>
        <v>99</v>
      </c>
      <c r="G42" s="37" t="n">
        <f aca="false">IF(G27&gt;=0,G4,99)</f>
        <v>99</v>
      </c>
      <c r="H42" s="37" t="n">
        <f aca="false">IF(H27&gt;=0,H4,99)</f>
        <v>99</v>
      </c>
      <c r="I42" s="37" t="n">
        <f aca="false">IF(I27&gt;=0,I4,99)</f>
        <v>99</v>
      </c>
      <c r="J42" s="37" t="n">
        <f aca="false">IF(J27&gt;=0,J4,99)</f>
        <v>99</v>
      </c>
      <c r="K42" s="37" t="n">
        <f aca="false">IF(K27&gt;=0,K4,99)</f>
        <v>99</v>
      </c>
      <c r="L42" s="37" t="n">
        <f aca="false">IF(L27&gt;=0,L4,99)</f>
        <v>99</v>
      </c>
      <c r="M42" s="37" t="n">
        <f aca="false">IF(M27&gt;=0,M4,99)</f>
        <v>99</v>
      </c>
      <c r="N42" s="37" t="n">
        <f aca="false">IF(N27&gt;=0,N4,99)</f>
        <v>99</v>
      </c>
      <c r="O42" s="37" t="n">
        <f aca="false">IF(O27&gt;=0,O4,99)</f>
        <v>99</v>
      </c>
      <c r="P42" s="37" t="n">
        <f aca="false">IF(P27&gt;=0,P4,99)</f>
        <v>99</v>
      </c>
      <c r="Q42" s="37" t="n">
        <f aca="false">IF(Q27&gt;=0,Q4,99)</f>
        <v>99</v>
      </c>
      <c r="R42" s="37" t="n">
        <f aca="false">IF(R27&gt;=0,R4,99)</f>
        <v>16</v>
      </c>
      <c r="S42" s="37" t="n">
        <f aca="false">IF(S27&gt;=0,S4,99)</f>
        <v>17</v>
      </c>
      <c r="T42" s="37" t="n">
        <f aca="false">IF(T27&gt;=0,T4,99)</f>
        <v>18</v>
      </c>
      <c r="U42" s="37" t="n">
        <f aca="false">IF(U27&gt;=0,U4,99)</f>
        <v>19</v>
      </c>
      <c r="V42" s="37" t="n">
        <f aca="false">IF(V27&gt;=0,V4,99)</f>
        <v>20</v>
      </c>
      <c r="W42" s="37" t="n">
        <f aca="false">IF(W27&gt;=0,W4,99)</f>
        <v>21</v>
      </c>
      <c r="X42" s="37" t="n">
        <f aca="false">IF(X27&gt;=0,X4,99)</f>
        <v>22</v>
      </c>
      <c r="Y42" s="37" t="n">
        <f aca="false">IF(Y27&gt;=0,Y4,99)</f>
        <v>23</v>
      </c>
      <c r="Z42" s="37" t="n">
        <f aca="false">IF(Z27&gt;=0,Z4,99)</f>
        <v>24</v>
      </c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" hidden="false" customHeight="false" outlineLevel="0" collapsed="false">
      <c r="A44" s="5" t="s">
        <v>405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" hidden="false" customHeight="false" outlineLevel="0" collapsed="false">
      <c r="A45" s="9" t="s">
        <v>406</v>
      </c>
      <c r="B45" s="39" t="n">
        <f aca="false">((1+Supuestos!$B$61)^(1/12)-1)</f>
        <v>0.0117149169198534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" hidden="false" customHeight="false" outlineLevel="0" collapsed="false">
      <c r="A46" s="9" t="s">
        <v>407</v>
      </c>
      <c r="B46" s="24" t="n">
        <f aca="false">SUM(B29:N29)</f>
        <v>-58906.1186718844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" hidden="false" customHeight="false" outlineLevel="0" collapsed="false">
      <c r="A47" s="9" t="s">
        <v>408</v>
      </c>
      <c r="B47" s="24" t="n">
        <f aca="false">SUM(B34:N34)</f>
        <v>-136102.383252673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" hidden="false" customHeight="false" outlineLevel="0" collapsed="false">
      <c r="A48" s="9" t="s">
        <v>409</v>
      </c>
      <c r="B48" s="24" t="n">
        <f aca="false">SUM(B39:N39)</f>
        <v>-981468.820752673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" hidden="false" customHeight="false" outlineLevel="0" collapsed="false">
      <c r="A49" s="9" t="s">
        <v>410</v>
      </c>
      <c r="B49" s="24" t="n">
        <f aca="false">SUM(B29:Z29)</f>
        <v>129817.107599822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" hidden="false" customHeight="false" outlineLevel="0" collapsed="false">
      <c r="A50" s="9" t="s">
        <v>411</v>
      </c>
      <c r="B50" s="24" t="n">
        <f aca="false">SUM(B34:Z34)</f>
        <v>-14506.3435729577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" hidden="false" customHeight="false" outlineLevel="0" collapsed="false">
      <c r="A51" s="9" t="s">
        <v>412</v>
      </c>
      <c r="B51" s="24" t="n">
        <f aca="false">SUM(B39:Z39)</f>
        <v>-859872.781072958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" hidden="false" customHeight="false" outlineLevel="0" collapsed="false">
      <c r="A52" s="9" t="s">
        <v>413</v>
      </c>
      <c r="B52" s="24" t="n">
        <f aca="false">-B26</f>
        <v>80291.665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" hidden="false" customHeight="false" outlineLevel="0" collapsed="false">
      <c r="A53" s="9" t="s">
        <v>414</v>
      </c>
      <c r="B53" s="24" t="n">
        <f aca="false">-MIN(B27:N27)</f>
        <v>92710.865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" hidden="false" customHeight="false" outlineLevel="0" collapsed="false">
      <c r="A54" s="9" t="s">
        <v>415</v>
      </c>
      <c r="B54" s="24" t="n">
        <f aca="false">-MIN(B27:Z27)</f>
        <v>92710.865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" hidden="false" customHeight="false" outlineLevel="0" collapsed="false">
      <c r="A55" s="9" t="s">
        <v>416</v>
      </c>
      <c r="B55" s="40" t="n">
        <f aca="false">MIN(C41:Z41)</f>
        <v>3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" hidden="false" customHeight="false" outlineLevel="0" collapsed="false">
      <c r="A56" s="9" t="s">
        <v>417</v>
      </c>
      <c r="B56" s="40" t="n">
        <f aca="false">MIN(C42:Z42)</f>
        <v>16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" hidden="false" customHeight="false" outlineLevel="0" collapsed="false">
      <c r="A57" s="9" t="s">
        <v>418</v>
      </c>
      <c r="B57" s="24" t="n">
        <f aca="false">N27</f>
        <v>-56107.6178533333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" hidden="false" customHeight="false" outlineLevel="0" collapsed="false">
      <c r="A58" s="9" t="s">
        <v>419</v>
      </c>
      <c r="B58" s="24" t="n">
        <f aca="false">Z27</f>
        <v>179170.377865333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" hidden="false" customHeight="false" outlineLevel="0" collapsed="false">
      <c r="A59" s="9" t="s">
        <v>420</v>
      </c>
      <c r="B59" s="24" t="n">
        <f aca="false">Z33</f>
        <v>12770.3778653334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" hidden="false" customHeight="false" outlineLevel="0" collapsed="false">
      <c r="A60" s="9" t="s">
        <v>421</v>
      </c>
      <c r="B60" s="24" t="n">
        <f aca="false">SUM(C12:N12)</f>
        <v>157355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5" hidden="false" customHeight="false" outlineLevel="0" collapsed="false">
      <c r="A61" s="9" t="s">
        <v>422</v>
      </c>
      <c r="B61" s="24" t="n">
        <f aca="false">SUM(C11:N11)</f>
        <v>22455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5" hidden="false" customHeight="false" outlineLevel="0" collapsed="false">
      <c r="A62" s="9" t="s">
        <v>423</v>
      </c>
      <c r="B62" s="41" t="n">
        <f aca="false">SUM(C8:N8)</f>
        <v>45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5" hidden="false" customHeight="false" outlineLevel="0" collapsed="false">
      <c r="A63" s="9" t="s">
        <v>424</v>
      </c>
      <c r="B63" s="42" t="n">
        <f aca="false">IFERROR((1+IRR(B26:N26))^12-1,"sin cambio de signo")</f>
        <v>-0.769079608142843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5" hidden="false" customHeight="false" outlineLevel="0" collapsed="false">
      <c r="A64" s="9" t="s">
        <v>425</v>
      </c>
      <c r="B64" s="42" t="n">
        <f aca="false">IFERROR((1+IRR(B26:Z26))^12-1,"sin cambio de signo")</f>
        <v>1.20963421040097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5" hidden="false" customHeight="false" outlineLevel="0" collapsed="false">
      <c r="A65" s="9" t="s">
        <v>426</v>
      </c>
      <c r="B65" s="42" t="n">
        <f aca="false">IFERROR((1+IRR(B32:Z32))^12-1,"sin cambio de signo")</f>
        <v>0.0630843956551843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9"/>
    <col collapsed="false" customWidth="true" hidden="false" outlineLevel="0" max="3" min="3" style="0" width="13"/>
    <col collapsed="false" customWidth="true" hidden="false" outlineLevel="0" max="4" min="4" style="0" width="44"/>
    <col collapsed="false" customWidth="true" hidden="false" outlineLevel="0" max="5" min="5" style="0" width="11"/>
    <col collapsed="false" customWidth="true" hidden="false" outlineLevel="0" max="6" min="6" style="0" width="14"/>
    <col collapsed="false" customWidth="true" hidden="false" outlineLevel="0" max="9" min="7" style="0" width="8"/>
    <col collapsed="false" customWidth="true" hidden="false" outlineLevel="0" max="12" min="10" style="0" width="14"/>
    <col collapsed="false" customWidth="true" hidden="false" outlineLevel="0" max="13" min="13" style="0" width="10"/>
  </cols>
  <sheetData>
    <row r="1" customFormat="false" ht="16.15" hidden="false" customHeight="false" outlineLevel="0" collapsed="false">
      <c r="A1" s="1" t="s">
        <v>427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" hidden="false" customHeight="false" outlineLevel="0" collapsed="false">
      <c r="A2" s="3" t="s">
        <v>428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23.85" hidden="false" customHeight="false" outlineLevel="0" collapsed="false">
      <c r="A3" s="4" t="s">
        <v>429</v>
      </c>
      <c r="B3" s="4" t="s">
        <v>430</v>
      </c>
      <c r="C3" s="4" t="s">
        <v>431</v>
      </c>
      <c r="D3" s="4" t="s">
        <v>432</v>
      </c>
      <c r="E3" s="4" t="s">
        <v>433</v>
      </c>
      <c r="F3" s="4" t="s">
        <v>434</v>
      </c>
      <c r="G3" s="4" t="s">
        <v>435</v>
      </c>
      <c r="H3" s="4" t="s">
        <v>436</v>
      </c>
      <c r="I3" s="4" t="s">
        <v>437</v>
      </c>
      <c r="J3" s="4" t="s">
        <v>438</v>
      </c>
      <c r="K3" s="4" t="s">
        <v>439</v>
      </c>
      <c r="L3" s="4" t="s">
        <v>440</v>
      </c>
      <c r="M3" s="4" t="s">
        <v>441</v>
      </c>
    </row>
    <row r="4" customFormat="false" ht="22.35" hidden="false" customHeight="false" outlineLevel="0" collapsed="false">
      <c r="A4" s="9" t="s">
        <v>442</v>
      </c>
      <c r="B4" s="43" t="n">
        <v>60</v>
      </c>
      <c r="C4" s="22" t="n">
        <v>1040</v>
      </c>
      <c r="D4" s="10" t="s">
        <v>443</v>
      </c>
      <c r="E4" s="44" t="n">
        <v>0.3</v>
      </c>
      <c r="F4" s="20" t="n">
        <f aca="false">(B4*Supuestos!$B$14+C4)*(1+Supuestos!$B$22)*(1+E4)</f>
        <v>19046.3</v>
      </c>
      <c r="G4" s="11" t="n">
        <v>3</v>
      </c>
      <c r="H4" s="11" t="n">
        <v>5</v>
      </c>
      <c r="I4" s="11" t="n">
        <v>7</v>
      </c>
      <c r="J4" s="20" t="n">
        <f aca="false">F4*G4</f>
        <v>57138.9</v>
      </c>
      <c r="K4" s="20" t="n">
        <f aca="false">F4*H4</f>
        <v>95231.5</v>
      </c>
      <c r="L4" s="20" t="n">
        <f aca="false">F4*I4</f>
        <v>133324.1</v>
      </c>
      <c r="M4" s="21" t="n">
        <f aca="false">K4/$K$19</f>
        <v>0.104853796315834</v>
      </c>
    </row>
    <row r="5" customFormat="false" ht="22.35" hidden="false" customHeight="false" outlineLevel="0" collapsed="false">
      <c r="A5" s="9" t="s">
        <v>444</v>
      </c>
      <c r="B5" s="43" t="n">
        <v>20</v>
      </c>
      <c r="C5" s="22" t="n">
        <v>320</v>
      </c>
      <c r="D5" s="10" t="s">
        <v>445</v>
      </c>
      <c r="E5" s="44" t="n">
        <v>0.25</v>
      </c>
      <c r="F5" s="20" t="n">
        <f aca="false">(B5*Supuestos!$B$14+C5)*(1+Supuestos!$B$22)*(1+E5)</f>
        <v>6066.25</v>
      </c>
      <c r="G5" s="11" t="n">
        <v>2</v>
      </c>
      <c r="H5" s="11" t="n">
        <v>3</v>
      </c>
      <c r="I5" s="11" t="n">
        <v>4</v>
      </c>
      <c r="J5" s="20" t="n">
        <f aca="false">F5*G5</f>
        <v>12132.5</v>
      </c>
      <c r="K5" s="20" t="n">
        <f aca="false">F5*H5</f>
        <v>18198.75</v>
      </c>
      <c r="L5" s="20" t="n">
        <f aca="false">F5*I5</f>
        <v>24265</v>
      </c>
      <c r="M5" s="21" t="n">
        <f aca="false">K5/$K$19</f>
        <v>0.0200375718717314</v>
      </c>
    </row>
    <row r="6" customFormat="false" ht="22.35" hidden="false" customHeight="false" outlineLevel="0" collapsed="false">
      <c r="A6" s="9" t="s">
        <v>446</v>
      </c>
      <c r="B6" s="43" t="n">
        <v>50</v>
      </c>
      <c r="C6" s="22" t="n">
        <v>1500</v>
      </c>
      <c r="D6" s="10" t="s">
        <v>447</v>
      </c>
      <c r="E6" s="44" t="n">
        <v>0.3</v>
      </c>
      <c r="F6" s="20" t="n">
        <f aca="false">(B6*Supuestos!$B$14+C6)*(1+Supuestos!$B$22)*(1+E6)</f>
        <v>16818.75</v>
      </c>
      <c r="G6" s="11" t="n">
        <v>3</v>
      </c>
      <c r="H6" s="11" t="n">
        <v>4</v>
      </c>
      <c r="I6" s="11" t="n">
        <v>6</v>
      </c>
      <c r="J6" s="20" t="n">
        <f aca="false">F6*G6</f>
        <v>50456.25</v>
      </c>
      <c r="K6" s="20" t="n">
        <f aca="false">F6*H6</f>
        <v>67275</v>
      </c>
      <c r="L6" s="20" t="n">
        <f aca="false">F6*I6</f>
        <v>100912.5</v>
      </c>
      <c r="M6" s="21" t="n">
        <f aca="false">K6/$K$19</f>
        <v>0.0740725405684859</v>
      </c>
    </row>
    <row r="7" customFormat="false" ht="15" hidden="false" customHeight="false" outlineLevel="0" collapsed="false">
      <c r="A7" s="9" t="s">
        <v>448</v>
      </c>
      <c r="B7" s="43" t="n">
        <v>20</v>
      </c>
      <c r="C7" s="22" t="n">
        <v>270</v>
      </c>
      <c r="D7" s="10" t="s">
        <v>449</v>
      </c>
      <c r="E7" s="44" t="n">
        <v>0.25</v>
      </c>
      <c r="F7" s="20" t="n">
        <f aca="false">(B7*Supuestos!$B$14+C7)*(1+Supuestos!$B$22)*(1+E7)</f>
        <v>5994.375</v>
      </c>
      <c r="G7" s="11" t="n">
        <v>2</v>
      </c>
      <c r="H7" s="11" t="n">
        <v>3</v>
      </c>
      <c r="I7" s="11" t="n">
        <v>4</v>
      </c>
      <c r="J7" s="20" t="n">
        <f aca="false">F7*G7</f>
        <v>11988.75</v>
      </c>
      <c r="K7" s="20" t="n">
        <f aca="false">F7*H7</f>
        <v>17983.125</v>
      </c>
      <c r="L7" s="20" t="n">
        <f aca="false">F7*I7</f>
        <v>23977.5</v>
      </c>
      <c r="M7" s="21" t="n">
        <f aca="false">K7/$K$19</f>
        <v>0.0198001598827299</v>
      </c>
    </row>
    <row r="8" customFormat="false" ht="15" hidden="false" customHeight="false" outlineLevel="0" collapsed="false">
      <c r="A8" s="9" t="s">
        <v>450</v>
      </c>
      <c r="B8" s="43" t="n">
        <v>60</v>
      </c>
      <c r="C8" s="22" t="n">
        <v>1700</v>
      </c>
      <c r="D8" s="10" t="s">
        <v>451</v>
      </c>
      <c r="E8" s="44" t="n">
        <v>0.3</v>
      </c>
      <c r="F8" s="20" t="n">
        <f aca="false">(B8*Supuestos!$B$14+C8)*(1+Supuestos!$B$22)*(1+E8)</f>
        <v>20033</v>
      </c>
      <c r="G8" s="11" t="n">
        <v>3</v>
      </c>
      <c r="H8" s="11" t="n">
        <v>4</v>
      </c>
      <c r="I8" s="11" t="n">
        <v>5</v>
      </c>
      <c r="J8" s="20" t="n">
        <f aca="false">F8*G8</f>
        <v>60099</v>
      </c>
      <c r="K8" s="20" t="n">
        <f aca="false">F8*H8</f>
        <v>80132</v>
      </c>
      <c r="L8" s="20" t="n">
        <f aca="false">F8*I8</f>
        <v>100165</v>
      </c>
      <c r="M8" s="21" t="n">
        <f aca="false">K8/$K$19</f>
        <v>0.088228626099352</v>
      </c>
    </row>
    <row r="9" customFormat="false" ht="15" hidden="false" customHeight="false" outlineLevel="0" collapsed="false">
      <c r="A9" s="9" t="s">
        <v>452</v>
      </c>
      <c r="B9" s="43" t="n">
        <v>25</v>
      </c>
      <c r="C9" s="22" t="n">
        <v>500</v>
      </c>
      <c r="D9" s="10" t="s">
        <v>453</v>
      </c>
      <c r="E9" s="44" t="n">
        <v>0.3</v>
      </c>
      <c r="F9" s="20" t="n">
        <f aca="false">(B9*Supuestos!$B$14+C9)*(1+Supuestos!$B$22)*(1+E9)</f>
        <v>8035.625</v>
      </c>
      <c r="G9" s="11" t="n">
        <v>2</v>
      </c>
      <c r="H9" s="11" t="n">
        <v>3</v>
      </c>
      <c r="I9" s="11" t="n">
        <v>4</v>
      </c>
      <c r="J9" s="20" t="n">
        <f aca="false">F9*G9</f>
        <v>16071.25</v>
      </c>
      <c r="K9" s="20" t="n">
        <f aca="false">F9*H9</f>
        <v>24106.875</v>
      </c>
      <c r="L9" s="20" t="n">
        <f aca="false">F9*I9</f>
        <v>32142.5</v>
      </c>
      <c r="M9" s="21" t="n">
        <f aca="false">K9/$K$19</f>
        <v>0.0265426603703741</v>
      </c>
    </row>
    <row r="10" customFormat="false" ht="15" hidden="false" customHeight="false" outlineLevel="0" collapsed="false">
      <c r="A10" s="9" t="s">
        <v>454</v>
      </c>
      <c r="B10" s="43" t="n">
        <v>40</v>
      </c>
      <c r="C10" s="22" t="n">
        <v>900</v>
      </c>
      <c r="D10" s="10" t="s">
        <v>455</v>
      </c>
      <c r="E10" s="44" t="n">
        <v>0.3</v>
      </c>
      <c r="F10" s="20" t="n">
        <f aca="false">(B10*Supuestos!$B$14+C10)*(1+Supuestos!$B$22)*(1+E10)</f>
        <v>13006.5</v>
      </c>
      <c r="G10" s="11" t="n">
        <v>3</v>
      </c>
      <c r="H10" s="11" t="n">
        <v>4</v>
      </c>
      <c r="I10" s="11" t="n">
        <v>6</v>
      </c>
      <c r="J10" s="20" t="n">
        <f aca="false">F10*G10</f>
        <v>39019.5</v>
      </c>
      <c r="K10" s="20" t="n">
        <f aca="false">F10*H10</f>
        <v>52026</v>
      </c>
      <c r="L10" s="20" t="n">
        <f aca="false">F10*I10</f>
        <v>78039</v>
      </c>
      <c r="M10" s="21" t="n">
        <f aca="false">K10/$K$19</f>
        <v>0.0572827647062957</v>
      </c>
    </row>
    <row r="11" customFormat="false" ht="15" hidden="false" customHeight="false" outlineLevel="0" collapsed="false">
      <c r="A11" s="9" t="s">
        <v>456</v>
      </c>
      <c r="B11" s="43" t="n">
        <v>80</v>
      </c>
      <c r="C11" s="22" t="n">
        <v>300</v>
      </c>
      <c r="D11" s="10" t="s">
        <v>457</v>
      </c>
      <c r="E11" s="44" t="n">
        <v>0.3</v>
      </c>
      <c r="F11" s="20" t="n">
        <f aca="false">(B11*Supuestos!$B$14+C11)*(1+Supuestos!$B$22)*(1+E11)</f>
        <v>23770.5</v>
      </c>
      <c r="G11" s="11" t="n">
        <v>4</v>
      </c>
      <c r="H11" s="11" t="n">
        <v>6</v>
      </c>
      <c r="I11" s="11" t="n">
        <v>8</v>
      </c>
      <c r="J11" s="20" t="n">
        <f aca="false">F11*G11</f>
        <v>95082</v>
      </c>
      <c r="K11" s="20" t="n">
        <f aca="false">F11*H11</f>
        <v>142623</v>
      </c>
      <c r="L11" s="20" t="n">
        <f aca="false">F11*I11</f>
        <v>190164</v>
      </c>
      <c r="M11" s="21" t="n">
        <f aca="false">K11/$K$19</f>
        <v>0.15703378600519</v>
      </c>
    </row>
    <row r="12" customFormat="false" ht="15" hidden="false" customHeight="false" outlineLevel="0" collapsed="false">
      <c r="A12" s="9" t="s">
        <v>458</v>
      </c>
      <c r="B12" s="43" t="n">
        <v>50</v>
      </c>
      <c r="C12" s="22" t="n">
        <v>450</v>
      </c>
      <c r="D12" s="10" t="s">
        <v>459</v>
      </c>
      <c r="E12" s="44" t="n">
        <v>0.3</v>
      </c>
      <c r="F12" s="20" t="n">
        <f aca="false">(B12*Supuestos!$B$14+C12)*(1+Supuestos!$B$22)*(1+E12)</f>
        <v>15249</v>
      </c>
      <c r="G12" s="11" t="n">
        <v>3</v>
      </c>
      <c r="H12" s="11" t="n">
        <v>4</v>
      </c>
      <c r="I12" s="11" t="n">
        <v>6</v>
      </c>
      <c r="J12" s="20" t="n">
        <f aca="false">F12*G12</f>
        <v>45747</v>
      </c>
      <c r="K12" s="20" t="n">
        <f aca="false">F12*H12</f>
        <v>60996</v>
      </c>
      <c r="L12" s="20" t="n">
        <f aca="false">F12*I12</f>
        <v>91494</v>
      </c>
      <c r="M12" s="21" t="n">
        <f aca="false">K12/$K$19</f>
        <v>0.0671591034487605</v>
      </c>
    </row>
    <row r="13" customFormat="false" ht="15" hidden="false" customHeight="false" outlineLevel="0" collapsed="false">
      <c r="A13" s="9" t="s">
        <v>460</v>
      </c>
      <c r="B13" s="43" t="n">
        <v>100</v>
      </c>
      <c r="C13" s="22" t="n">
        <v>200</v>
      </c>
      <c r="D13" s="10" t="s">
        <v>461</v>
      </c>
      <c r="E13" s="44" t="n">
        <v>0.25</v>
      </c>
      <c r="F13" s="20" t="n">
        <f aca="false">(B13*Supuestos!$B$14+C13)*(1+Supuestos!$B$22)*(1+E13)</f>
        <v>28318.75</v>
      </c>
      <c r="G13" s="11" t="n">
        <v>4</v>
      </c>
      <c r="H13" s="11" t="n">
        <v>6</v>
      </c>
      <c r="I13" s="11" t="n">
        <v>8</v>
      </c>
      <c r="J13" s="20" t="n">
        <f aca="false">F13*G13</f>
        <v>113275</v>
      </c>
      <c r="K13" s="20" t="n">
        <f aca="false">F13*H13</f>
        <v>169912.5</v>
      </c>
      <c r="L13" s="20" t="n">
        <f aca="false">F13*I13</f>
        <v>226550</v>
      </c>
      <c r="M13" s="21" t="n">
        <f aca="false">K13/$K$19</f>
        <v>0.187080647333227</v>
      </c>
    </row>
    <row r="14" customFormat="false" ht="15" hidden="false" customHeight="false" outlineLevel="0" collapsed="false">
      <c r="A14" s="9" t="s">
        <v>462</v>
      </c>
      <c r="B14" s="43" t="n">
        <v>30</v>
      </c>
      <c r="C14" s="22" t="n">
        <v>468</v>
      </c>
      <c r="D14" s="10" t="s">
        <v>463</v>
      </c>
      <c r="E14" s="44" t="n">
        <v>0.25</v>
      </c>
      <c r="F14" s="20" t="n">
        <f aca="false">(B14*Supuestos!$B$14+C14)*(1+Supuestos!$B$22)*(1+E14)</f>
        <v>9082.125</v>
      </c>
      <c r="G14" s="11" t="n">
        <v>2</v>
      </c>
      <c r="H14" s="11" t="n">
        <v>3</v>
      </c>
      <c r="I14" s="11" t="n">
        <v>5</v>
      </c>
      <c r="J14" s="20" t="n">
        <f aca="false">F14*G14</f>
        <v>18164.25</v>
      </c>
      <c r="K14" s="20" t="n">
        <f aca="false">F14*H14</f>
        <v>27246.375</v>
      </c>
      <c r="L14" s="20" t="n">
        <f aca="false">F14*I14</f>
        <v>45410.625</v>
      </c>
      <c r="M14" s="21" t="n">
        <f aca="false">K14/$K$19</f>
        <v>0.0299993789302368</v>
      </c>
    </row>
    <row r="15" customFormat="false" ht="15" hidden="false" customHeight="false" outlineLevel="0" collapsed="false">
      <c r="A15" s="9" t="s">
        <v>464</v>
      </c>
      <c r="B15" s="43" t="n">
        <v>30</v>
      </c>
      <c r="C15" s="22" t="n">
        <v>100</v>
      </c>
      <c r="D15" s="10" t="s">
        <v>465</v>
      </c>
      <c r="E15" s="44" t="n">
        <v>0.25</v>
      </c>
      <c r="F15" s="20" t="n">
        <f aca="false">(B15*Supuestos!$B$14+C15)*(1+Supuestos!$B$22)*(1+E15)</f>
        <v>8553.125</v>
      </c>
      <c r="G15" s="11" t="n">
        <v>3</v>
      </c>
      <c r="H15" s="11" t="n">
        <v>4</v>
      </c>
      <c r="I15" s="11" t="n">
        <v>6</v>
      </c>
      <c r="J15" s="20" t="n">
        <f aca="false">F15*G15</f>
        <v>25659.375</v>
      </c>
      <c r="K15" s="20" t="n">
        <f aca="false">F15*H15</f>
        <v>34212.5</v>
      </c>
      <c r="L15" s="20" t="n">
        <f aca="false">F15*I15</f>
        <v>51318.75</v>
      </c>
      <c r="M15" s="21" t="n">
        <f aca="false">K15/$K$19</f>
        <v>0.0376693689215804</v>
      </c>
    </row>
    <row r="16" customFormat="false" ht="15" hidden="false" customHeight="false" outlineLevel="0" collapsed="false">
      <c r="A16" s="9" t="s">
        <v>466</v>
      </c>
      <c r="B16" s="43" t="n">
        <v>25</v>
      </c>
      <c r="C16" s="22" t="n">
        <v>100</v>
      </c>
      <c r="D16" s="10" t="s">
        <v>467</v>
      </c>
      <c r="E16" s="44" t="n">
        <v>0.25</v>
      </c>
      <c r="F16" s="20" t="n">
        <f aca="false">(B16*Supuestos!$B$14+C16)*(1+Supuestos!$B$22)*(1+E16)</f>
        <v>7151.5625</v>
      </c>
      <c r="G16" s="11" t="n">
        <v>2</v>
      </c>
      <c r="H16" s="11" t="n">
        <v>3</v>
      </c>
      <c r="I16" s="11" t="n">
        <v>4</v>
      </c>
      <c r="J16" s="20" t="n">
        <f aca="false">F16*G16</f>
        <v>14303.125</v>
      </c>
      <c r="K16" s="20" t="n">
        <f aca="false">F16*H16</f>
        <v>21454.6875</v>
      </c>
      <c r="L16" s="20" t="n">
        <f aca="false">F16*I16</f>
        <v>28606.25</v>
      </c>
      <c r="M16" s="21" t="n">
        <f aca="false">K16/$K$19</f>
        <v>0.0236224929056549</v>
      </c>
    </row>
    <row r="17" customFormat="false" ht="15" hidden="false" customHeight="false" outlineLevel="0" collapsed="false">
      <c r="A17" s="9" t="s">
        <v>468</v>
      </c>
      <c r="B17" s="43" t="n">
        <v>20</v>
      </c>
      <c r="C17" s="22" t="n">
        <v>400</v>
      </c>
      <c r="D17" s="10" t="s">
        <v>469</v>
      </c>
      <c r="E17" s="44" t="n">
        <v>0.25</v>
      </c>
      <c r="F17" s="20" t="n">
        <f aca="false">(B17*Supuestos!$B$14+C17)*(1+Supuestos!$B$22)*(1+E17)</f>
        <v>6181.25</v>
      </c>
      <c r="G17" s="11" t="n">
        <v>2</v>
      </c>
      <c r="H17" s="11" t="n">
        <v>2</v>
      </c>
      <c r="I17" s="11" t="n">
        <v>3</v>
      </c>
      <c r="J17" s="20" t="n">
        <f aca="false">F17*G17</f>
        <v>12362.5</v>
      </c>
      <c r="K17" s="20" t="n">
        <f aca="false">F17*H17</f>
        <v>12362.5</v>
      </c>
      <c r="L17" s="20" t="n">
        <f aca="false">F17*I17</f>
        <v>18543.75</v>
      </c>
      <c r="M17" s="21" t="n">
        <f aca="false">K17/$K$19</f>
        <v>0.0136116207027559</v>
      </c>
    </row>
    <row r="18" customFormat="false" ht="22.35" hidden="false" customHeight="false" outlineLevel="0" collapsed="false">
      <c r="A18" s="9" t="s">
        <v>470</v>
      </c>
      <c r="B18" s="43" t="n">
        <v>80</v>
      </c>
      <c r="C18" s="20" t="n">
        <f aca="false">ROUND(BOM!$F$19*4*0.5,0)+300</f>
        <v>3234</v>
      </c>
      <c r="D18" s="10" t="s">
        <v>471</v>
      </c>
      <c r="E18" s="44" t="n">
        <v>0.3</v>
      </c>
      <c r="F18" s="20" t="n">
        <f aca="false">(B18*Supuestos!$B$14+C18)*(1+Supuestos!$B$22)*(1+E18)</f>
        <v>28156.83</v>
      </c>
      <c r="G18" s="11" t="n">
        <v>2</v>
      </c>
      <c r="H18" s="11" t="n">
        <v>3</v>
      </c>
      <c r="I18" s="11" t="n">
        <v>5</v>
      </c>
      <c r="J18" s="20" t="n">
        <f aca="false">F18*G18</f>
        <v>56313.66</v>
      </c>
      <c r="K18" s="20" t="n">
        <f aca="false">F18*H18</f>
        <v>84470.49</v>
      </c>
      <c r="L18" s="20" t="n">
        <f aca="false">F18*I18</f>
        <v>140784.15</v>
      </c>
      <c r="M18" s="21" t="n">
        <f aca="false">K18/$K$19</f>
        <v>0.0930054819377908</v>
      </c>
    </row>
    <row r="19" customFormat="false" ht="15" hidden="false" customHeight="false" outlineLevel="0" collapsed="false">
      <c r="A19" s="23" t="s">
        <v>472</v>
      </c>
      <c r="B19" s="2"/>
      <c r="C19" s="2"/>
      <c r="D19" s="2"/>
      <c r="E19" s="2"/>
      <c r="F19" s="2"/>
      <c r="G19" s="2"/>
      <c r="H19" s="2"/>
      <c r="I19" s="2"/>
      <c r="J19" s="24" t="n">
        <f aca="false">SUM(J4:J18)</f>
        <v>627813.06</v>
      </c>
      <c r="K19" s="24" t="n">
        <f aca="false">SUM(K4:K18)</f>
        <v>908231.3025</v>
      </c>
      <c r="L19" s="24" t="n">
        <f aca="false">SUM(L4:L18)</f>
        <v>1285697.125</v>
      </c>
      <c r="M19" s="2"/>
    </row>
    <row r="20" customFormat="false" ht="15" hidden="false" customHeight="false" outlineLevel="0" collapsed="false">
      <c r="A20" s="9" t="s">
        <v>473</v>
      </c>
      <c r="B20" s="2"/>
      <c r="C20" s="2"/>
      <c r="D20" s="2"/>
      <c r="E20" s="2"/>
      <c r="F20" s="2"/>
      <c r="G20" s="2"/>
      <c r="H20" s="2"/>
      <c r="I20" s="2"/>
      <c r="J20" s="28" t="n">
        <f aca="false">SUMPRODUCT(B4:B18,G4:G18)</f>
        <v>2030</v>
      </c>
      <c r="K20" s="28" t="n">
        <f aca="false">SUMPRODUCT(B4:B18,H4:H18)</f>
        <v>2940</v>
      </c>
      <c r="L20" s="28" t="n">
        <f aca="false">SUMPRODUCT(B4:B18,I4:I18)</f>
        <v>4150</v>
      </c>
      <c r="M20" s="2"/>
    </row>
    <row r="21" customFormat="false" ht="15" hidden="false" customHeight="false" outlineLevel="0" collapsed="false">
      <c r="A21" s="9" t="s">
        <v>474</v>
      </c>
      <c r="B21" s="2"/>
      <c r="C21" s="2"/>
      <c r="D21" s="2"/>
      <c r="E21" s="2"/>
      <c r="F21" s="2"/>
      <c r="G21" s="2"/>
      <c r="H21" s="2"/>
      <c r="I21" s="2"/>
      <c r="J21" s="33" t="n">
        <f aca="false">J20/(Supuestos!$B$12*52/12)</f>
        <v>11.6243557930903</v>
      </c>
      <c r="K21" s="33" t="n">
        <f aca="false">K20/(Supuestos!$B$12*52/12)</f>
        <v>16.8352739072342</v>
      </c>
      <c r="L21" s="33" t="n">
        <f aca="false">L20/(Supuestos!$B$12*52/12)</f>
        <v>23.764077113953</v>
      </c>
      <c r="M21" s="2"/>
    </row>
    <row r="22" customFormat="false" ht="15" hidden="false" customHeight="false" outlineLevel="0" collapsed="false">
      <c r="A22" s="9" t="s">
        <v>475</v>
      </c>
      <c r="B22" s="2"/>
      <c r="C22" s="2"/>
      <c r="D22" s="2"/>
      <c r="E22" s="2"/>
      <c r="F22" s="2"/>
      <c r="G22" s="2"/>
      <c r="H22" s="2"/>
      <c r="I22" s="2"/>
      <c r="J22" s="20" t="n">
        <f aca="false">SUMPRODUCT(C4:C18*(1+Supuestos!$B$22)*(1+E4:E18),G4:G18)</f>
        <v>44090.31</v>
      </c>
      <c r="K22" s="20" t="n">
        <f aca="false">SUMPRODUCT(C4:C18*(1+Supuestos!$B$22)*(1+E4:E18),H4:H18)</f>
        <v>62864.865</v>
      </c>
      <c r="L22" s="20" t="n">
        <f aca="false">SUMPRODUCT(C4:C18*(1+Supuestos!$B$22)*(1+E4:E18),I4:I18)</f>
        <v>92126.5</v>
      </c>
      <c r="M22" s="2"/>
    </row>
    <row r="23" customFormat="false" ht="15" hidden="false" customHeight="false" outlineLevel="0" collapsed="false">
      <c r="A23" s="9" t="s">
        <v>476</v>
      </c>
      <c r="B23" s="2"/>
      <c r="C23" s="2"/>
      <c r="D23" s="2"/>
      <c r="E23" s="2"/>
      <c r="F23" s="2"/>
      <c r="G23" s="2"/>
      <c r="H23" s="2"/>
      <c r="I23" s="2"/>
      <c r="J23" s="20" t="n">
        <f aca="false">J19-J22</f>
        <v>583722.75</v>
      </c>
      <c r="K23" s="20" t="n">
        <f aca="false">K19-K22</f>
        <v>845366.4375</v>
      </c>
      <c r="L23" s="20" t="n">
        <f aca="false">L19-L22</f>
        <v>1193570.625</v>
      </c>
      <c r="M23" s="2"/>
    </row>
    <row r="24" customFormat="false" ht="15" hidden="false" customHeight="false" outlineLevel="0" collapsed="false">
      <c r="A24" s="9" t="s">
        <v>477</v>
      </c>
      <c r="B24" s="2"/>
      <c r="C24" s="2"/>
      <c r="D24" s="2"/>
      <c r="E24" s="2"/>
      <c r="F24" s="2"/>
      <c r="G24" s="2"/>
      <c r="H24" s="2"/>
      <c r="I24" s="2"/>
      <c r="J24" s="2"/>
      <c r="K24" s="21" t="n">
        <f aca="false">SUM(K11:K16)/K19</f>
        <v>0.50256477754465</v>
      </c>
      <c r="L24" s="2"/>
      <c r="M24" s="2"/>
    </row>
    <row r="25" customFormat="false" ht="15" hidden="false" customHeight="false" outlineLevel="0" collapsed="false">
      <c r="A25" s="9" t="s">
        <v>478</v>
      </c>
      <c r="B25" s="2"/>
      <c r="C25" s="2"/>
      <c r="D25" s="2"/>
      <c r="E25" s="2"/>
      <c r="F25" s="2"/>
      <c r="G25" s="2"/>
      <c r="H25" s="2"/>
      <c r="I25" s="2"/>
      <c r="J25" s="2"/>
      <c r="K25" s="21" t="n">
        <f aca="false">SUM(K4:K10)/K19</f>
        <v>0.390818119814803</v>
      </c>
      <c r="L25" s="2"/>
      <c r="M25" s="2"/>
    </row>
    <row r="26" customFormat="false" ht="15" hidden="false" customHeight="false" outlineLevel="0" collapsed="false">
      <c r="A26" s="9" t="s">
        <v>479</v>
      </c>
      <c r="B26" s="2"/>
      <c r="C26" s="2"/>
      <c r="D26" s="2"/>
      <c r="E26" s="2"/>
      <c r="F26" s="2"/>
      <c r="G26" s="2"/>
      <c r="H26" s="2"/>
      <c r="I26" s="2"/>
      <c r="J26" s="2"/>
      <c r="K26" s="20" t="n">
        <f aca="false">(120*Supuestos!$B$14+300+5000)*(1+Supuestos!$B$22)*1.3*5</f>
        <v>214532.5</v>
      </c>
      <c r="L26" s="2"/>
      <c r="M2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7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70"/>
  </cols>
  <sheetData>
    <row r="1" customFormat="false" ht="16.15" hidden="false" customHeight="false" outlineLevel="0" collapsed="false">
      <c r="A1" s="1" t="s">
        <v>480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</row>
    <row r="3" customFormat="false" ht="23.85" hidden="false" customHeight="false" outlineLevel="0" collapsed="false">
      <c r="A3" s="4" t="s">
        <v>481</v>
      </c>
      <c r="B3" s="4" t="s">
        <v>482</v>
      </c>
      <c r="C3" s="4" t="s">
        <v>483</v>
      </c>
      <c r="D3" s="4" t="s">
        <v>484</v>
      </c>
      <c r="E3" s="4" t="s">
        <v>485</v>
      </c>
      <c r="F3" s="4" t="s">
        <v>486</v>
      </c>
      <c r="G3" s="4" t="s">
        <v>487</v>
      </c>
    </row>
    <row r="4" customFormat="false" ht="15" hidden="false" customHeight="false" outlineLevel="0" collapsed="false">
      <c r="A4" s="5" t="s">
        <v>488</v>
      </c>
      <c r="B4" s="2"/>
      <c r="C4" s="2"/>
      <c r="D4" s="2"/>
      <c r="E4" s="2"/>
      <c r="F4" s="2"/>
      <c r="G4" s="2"/>
    </row>
    <row r="5" customFormat="false" ht="15" hidden="false" customHeight="false" outlineLevel="0" collapsed="false">
      <c r="A5" s="7" t="s">
        <v>489</v>
      </c>
      <c r="B5" s="45" t="s">
        <v>490</v>
      </c>
      <c r="C5" s="26" t="n">
        <f aca="false">BOM!$F$6+BOM!$F$7+BOM!$F$13</f>
        <v>235</v>
      </c>
      <c r="D5" s="9" t="s">
        <v>491</v>
      </c>
      <c r="E5" s="43" t="n">
        <v>1</v>
      </c>
      <c r="F5" s="26" t="n">
        <f aca="false">IFERROR(C5/E5,0)</f>
        <v>235</v>
      </c>
      <c r="G5" s="10" t="s">
        <v>492</v>
      </c>
    </row>
    <row r="6" customFormat="false" ht="15" hidden="false" customHeight="false" outlineLevel="0" collapsed="false">
      <c r="A6" s="7" t="s">
        <v>493</v>
      </c>
      <c r="B6" s="45" t="s">
        <v>490</v>
      </c>
      <c r="C6" s="26" t="n">
        <f aca="false">BOM!$F$9+BOM!$F$16</f>
        <v>115</v>
      </c>
      <c r="D6" s="9" t="s">
        <v>491</v>
      </c>
      <c r="E6" s="43" t="n">
        <v>1</v>
      </c>
      <c r="F6" s="26" t="n">
        <f aca="false">IFERROR(C6/E6,0)</f>
        <v>115</v>
      </c>
      <c r="G6" s="10" t="s">
        <v>494</v>
      </c>
    </row>
    <row r="7" customFormat="false" ht="22.35" hidden="false" customHeight="false" outlineLevel="0" collapsed="false">
      <c r="A7" s="7" t="s">
        <v>495</v>
      </c>
      <c r="B7" s="46" t="s">
        <v>496</v>
      </c>
      <c r="C7" s="26" t="n">
        <f aca="false">BOM!$F$5</f>
        <v>425</v>
      </c>
      <c r="D7" s="9" t="s">
        <v>491</v>
      </c>
      <c r="E7" s="43" t="n">
        <v>1</v>
      </c>
      <c r="F7" s="26" t="n">
        <f aca="false">IFERROR(C7/E7,0)</f>
        <v>425</v>
      </c>
      <c r="G7" s="10" t="s">
        <v>497</v>
      </c>
    </row>
    <row r="8" customFormat="false" ht="15" hidden="false" customHeight="false" outlineLevel="0" collapsed="false">
      <c r="A8" s="7" t="s">
        <v>498</v>
      </c>
      <c r="B8" s="46" t="s">
        <v>496</v>
      </c>
      <c r="C8" s="26" t="n">
        <f aca="false">BOM!$F$4+BOM!$F$8+BOM!$F$10</f>
        <v>281</v>
      </c>
      <c r="D8" s="9" t="s">
        <v>491</v>
      </c>
      <c r="E8" s="43" t="n">
        <v>1</v>
      </c>
      <c r="F8" s="26" t="n">
        <f aca="false">IFERROR(C8/E8,0)</f>
        <v>281</v>
      </c>
      <c r="G8" s="10" t="s">
        <v>499</v>
      </c>
    </row>
    <row r="9" customFormat="false" ht="15" hidden="false" customHeight="false" outlineLevel="0" collapsed="false">
      <c r="A9" s="7" t="s">
        <v>500</v>
      </c>
      <c r="B9" s="46" t="s">
        <v>496</v>
      </c>
      <c r="C9" s="26" t="n">
        <f aca="false">BOM!$F$11</f>
        <v>80</v>
      </c>
      <c r="D9" s="9" t="s">
        <v>491</v>
      </c>
      <c r="E9" s="43" t="n">
        <v>1</v>
      </c>
      <c r="F9" s="26" t="n">
        <f aca="false">IFERROR(C9/E9,0)</f>
        <v>80</v>
      </c>
      <c r="G9" s="10" t="s">
        <v>501</v>
      </c>
    </row>
    <row r="10" customFormat="false" ht="15" hidden="false" customHeight="false" outlineLevel="0" collapsed="false">
      <c r="A10" s="7" t="s">
        <v>502</v>
      </c>
      <c r="B10" s="47" t="s">
        <v>503</v>
      </c>
      <c r="C10" s="26" t="n">
        <f aca="false">BOM!$F$12</f>
        <v>91</v>
      </c>
      <c r="D10" s="9" t="s">
        <v>491</v>
      </c>
      <c r="E10" s="43" t="n">
        <v>1</v>
      </c>
      <c r="F10" s="26" t="n">
        <f aca="false">IFERROR(C10/E10,0)</f>
        <v>91</v>
      </c>
      <c r="G10" s="10" t="s">
        <v>504</v>
      </c>
    </row>
    <row r="11" customFormat="false" ht="15" hidden="false" customHeight="false" outlineLevel="0" collapsed="false">
      <c r="A11" s="7" t="s">
        <v>505</v>
      </c>
      <c r="B11" s="46" t="s">
        <v>496</v>
      </c>
      <c r="C11" s="26" t="n">
        <f aca="false">BOM!$F$14+BOM!$F$15+BOM!$F$17+BOM!$F$18</f>
        <v>240</v>
      </c>
      <c r="D11" s="9" t="s">
        <v>491</v>
      </c>
      <c r="E11" s="43" t="n">
        <v>1</v>
      </c>
      <c r="F11" s="26" t="n">
        <f aca="false">IFERROR(C11/E11,0)</f>
        <v>240</v>
      </c>
      <c r="G11" s="10" t="s">
        <v>506</v>
      </c>
    </row>
    <row r="12" customFormat="false" ht="15" hidden="false" customHeight="false" outlineLevel="0" collapsed="false">
      <c r="A12" s="7" t="s">
        <v>206</v>
      </c>
      <c r="B12" s="46" t="s">
        <v>496</v>
      </c>
      <c r="C12" s="26" t="n">
        <f aca="false">Supuestos!$B$16*Supuestos!$B$15</f>
        <v>120</v>
      </c>
      <c r="D12" s="9" t="s">
        <v>491</v>
      </c>
      <c r="E12" s="43" t="n">
        <v>1</v>
      </c>
      <c r="F12" s="26" t="n">
        <f aca="false">IFERROR(C12/E12,0)</f>
        <v>120</v>
      </c>
      <c r="G12" s="10" t="s">
        <v>507</v>
      </c>
    </row>
    <row r="13" customFormat="false" ht="15" hidden="false" customHeight="false" outlineLevel="0" collapsed="false">
      <c r="A13" s="7" t="s">
        <v>508</v>
      </c>
      <c r="B13" s="47" t="s">
        <v>503</v>
      </c>
      <c r="C13" s="26" t="n">
        <f aca="false">12*Supuestos!$B$27*Supuestos!$B$5</f>
        <v>5610</v>
      </c>
      <c r="D13" s="9" t="s">
        <v>509</v>
      </c>
      <c r="E13" s="28" t="n">
        <f aca="false">(Supuestos!$B$7*Supuestos!$B$6)</f>
        <v>40</v>
      </c>
      <c r="F13" s="26" t="n">
        <f aca="false">IFERROR(C13/E13,0)</f>
        <v>140.25</v>
      </c>
      <c r="G13" s="10" t="s">
        <v>510</v>
      </c>
    </row>
    <row r="14" customFormat="false" ht="15" hidden="false" customHeight="false" outlineLevel="0" collapsed="false">
      <c r="A14" s="7" t="s">
        <v>511</v>
      </c>
      <c r="B14" s="45" t="s">
        <v>490</v>
      </c>
      <c r="C14" s="26" t="n">
        <f aca="false">12*IA!$B$9</f>
        <v>54.79848</v>
      </c>
      <c r="D14" s="9" t="s">
        <v>512</v>
      </c>
      <c r="E14" s="28" t="n">
        <f aca="false">Supuestos!$B$6</f>
        <v>4</v>
      </c>
      <c r="F14" s="26" t="n">
        <f aca="false">IFERROR(C14/E14,0)</f>
        <v>13.69962</v>
      </c>
      <c r="G14" s="10" t="s">
        <v>513</v>
      </c>
    </row>
    <row r="15" customFormat="false" ht="15" hidden="false" customHeight="false" outlineLevel="0" collapsed="false">
      <c r="A15" s="7" t="s">
        <v>514</v>
      </c>
      <c r="B15" s="47" t="s">
        <v>503</v>
      </c>
      <c r="C15" s="26" t="n">
        <f aca="false">(Supuestos!$B$52+Supuestos!$B$53)*Supuestos!$B$5+Supuestos!$B$54</f>
        <v>2918.8</v>
      </c>
      <c r="D15" s="9" t="s">
        <v>509</v>
      </c>
      <c r="E15" s="28" t="n">
        <f aca="false">(Supuestos!$B$7*Supuestos!$B$6)</f>
        <v>40</v>
      </c>
      <c r="F15" s="26" t="n">
        <f aca="false">IFERROR(C15/E15,0)</f>
        <v>72.97</v>
      </c>
      <c r="G15" s="10" t="s">
        <v>515</v>
      </c>
    </row>
    <row r="16" customFormat="false" ht="15" hidden="false" customHeight="false" outlineLevel="0" collapsed="false">
      <c r="A16" s="5" t="s">
        <v>516</v>
      </c>
      <c r="B16" s="2"/>
      <c r="C16" s="2"/>
      <c r="D16" s="2"/>
      <c r="E16" s="2"/>
      <c r="F16" s="2"/>
      <c r="G16" s="2"/>
    </row>
    <row r="17" customFormat="false" ht="15" hidden="false" customHeight="false" outlineLevel="0" collapsed="false">
      <c r="A17" s="7" t="s">
        <v>517</v>
      </c>
      <c r="B17" s="46" t="s">
        <v>496</v>
      </c>
      <c r="C17" s="26" t="n">
        <f aca="false">Supuestos!$B$20</f>
        <v>160</v>
      </c>
      <c r="D17" s="9" t="s">
        <v>518</v>
      </c>
      <c r="E17" s="28" t="n">
        <f aca="false">Supuestos!$B$6</f>
        <v>4</v>
      </c>
      <c r="F17" s="26" t="n">
        <f aca="false">IFERROR(C17/E17,0)</f>
        <v>40</v>
      </c>
      <c r="G17" s="10" t="s">
        <v>519</v>
      </c>
    </row>
    <row r="18" customFormat="false" ht="15" hidden="false" customHeight="false" outlineLevel="0" collapsed="false">
      <c r="A18" s="7" t="s">
        <v>520</v>
      </c>
      <c r="B18" s="47" t="s">
        <v>503</v>
      </c>
      <c r="C18" s="26" t="n">
        <f aca="false">Supuestos!$B$44</f>
        <v>250</v>
      </c>
      <c r="D18" s="9" t="s">
        <v>518</v>
      </c>
      <c r="E18" s="28" t="n">
        <f aca="false">Supuestos!$B$6</f>
        <v>4</v>
      </c>
      <c r="F18" s="26" t="n">
        <f aca="false">IFERROR(C18/E18,0)</f>
        <v>62.5</v>
      </c>
      <c r="G18" s="10" t="s">
        <v>521</v>
      </c>
    </row>
    <row r="19" customFormat="false" ht="15" hidden="false" customHeight="false" outlineLevel="0" collapsed="false">
      <c r="A19" s="7" t="s">
        <v>522</v>
      </c>
      <c r="B19" s="47" t="s">
        <v>503</v>
      </c>
      <c r="C19" s="26" t="n">
        <f aca="false">Equilibrio!$B$6</f>
        <v>550.76916</v>
      </c>
      <c r="D19" s="9" t="s">
        <v>518</v>
      </c>
      <c r="E19" s="28" t="n">
        <f aca="false">Supuestos!$B$6</f>
        <v>4</v>
      </c>
      <c r="F19" s="26" t="n">
        <f aca="false">IFERROR(C19/E19,0)</f>
        <v>137.69229</v>
      </c>
      <c r="G19" s="10" t="s">
        <v>523</v>
      </c>
    </row>
    <row r="20" customFormat="false" ht="15" hidden="false" customHeight="false" outlineLevel="0" collapsed="false">
      <c r="A20" s="7" t="s">
        <v>524</v>
      </c>
      <c r="B20" s="46" t="s">
        <v>496</v>
      </c>
      <c r="C20" s="26" t="n">
        <f aca="false">12*Supuestos!$B$46*Supuestos!$B$15</f>
        <v>960</v>
      </c>
      <c r="D20" s="9" t="s">
        <v>512</v>
      </c>
      <c r="E20" s="28" t="n">
        <f aca="false">Supuestos!$B$6</f>
        <v>4</v>
      </c>
      <c r="F20" s="26" t="n">
        <f aca="false">IFERROR(C20/E20,0)</f>
        <v>240</v>
      </c>
      <c r="G20" s="10" t="s">
        <v>525</v>
      </c>
    </row>
    <row r="21" customFormat="false" ht="15" hidden="false" customHeight="false" outlineLevel="0" collapsed="false">
      <c r="A21" s="7" t="s">
        <v>526</v>
      </c>
      <c r="B21" s="46" t="s">
        <v>496</v>
      </c>
      <c r="C21" s="26" t="n">
        <f aca="false">4*Supuestos!$B$48*Supuestos!$B$47</f>
        <v>160</v>
      </c>
      <c r="D21" s="9" t="s">
        <v>512</v>
      </c>
      <c r="E21" s="28" t="n">
        <f aca="false">Supuestos!$B$6</f>
        <v>4</v>
      </c>
      <c r="F21" s="26" t="n">
        <f aca="false">IFERROR(C21/E21,0)</f>
        <v>40</v>
      </c>
      <c r="G21" s="10" t="s">
        <v>527</v>
      </c>
    </row>
    <row r="22" customFormat="false" ht="15" hidden="false" customHeight="false" outlineLevel="0" collapsed="false">
      <c r="A22" s="7" t="s">
        <v>528</v>
      </c>
      <c r="B22" s="46" t="s">
        <v>496</v>
      </c>
      <c r="C22" s="26" t="n">
        <f aca="false">0</f>
        <v>0</v>
      </c>
      <c r="D22" s="9" t="s">
        <v>529</v>
      </c>
      <c r="E22" s="43" t="n">
        <v>1</v>
      </c>
      <c r="F22" s="26" t="n">
        <f aca="false">IFERROR(C22/E22,0)</f>
        <v>0</v>
      </c>
      <c r="G22" s="10" t="s">
        <v>530</v>
      </c>
    </row>
    <row r="23" customFormat="false" ht="15" hidden="false" customHeight="false" outlineLevel="0" collapsed="false">
      <c r="A23" s="7" t="s">
        <v>531</v>
      </c>
      <c r="B23" s="46" t="s">
        <v>496</v>
      </c>
      <c r="C23" s="26" t="n">
        <f aca="false">Equilibrio!$B$20+Equilibrio!$B$21</f>
        <v>18508</v>
      </c>
      <c r="D23" s="9" t="s">
        <v>509</v>
      </c>
      <c r="E23" s="28" t="n">
        <f aca="false">(Supuestos!$B$7*Supuestos!$B$6)</f>
        <v>40</v>
      </c>
      <c r="F23" s="26" t="n">
        <f aca="false">IFERROR(C23/E23,0)</f>
        <v>462.7</v>
      </c>
      <c r="G23" s="10" t="s">
        <v>532</v>
      </c>
    </row>
    <row r="24" customFormat="false" ht="15" hidden="false" customHeight="false" outlineLevel="0" collapsed="false">
      <c r="A24" s="7" t="s">
        <v>533</v>
      </c>
      <c r="B24" s="47" t="s">
        <v>503</v>
      </c>
      <c r="C24" s="26" t="n">
        <f aca="false">Equilibrio!$B$22</f>
        <v>17000</v>
      </c>
      <c r="D24" s="9" t="s">
        <v>509</v>
      </c>
      <c r="E24" s="28" t="n">
        <f aca="false">(Supuestos!$B$7*Supuestos!$B$6)</f>
        <v>40</v>
      </c>
      <c r="F24" s="26" t="n">
        <f aca="false">IFERROR(C24/E24,0)</f>
        <v>425</v>
      </c>
      <c r="G24" s="10" t="s">
        <v>534</v>
      </c>
    </row>
    <row r="25" customFormat="false" ht="15" hidden="false" customHeight="false" outlineLevel="0" collapsed="false">
      <c r="A25" s="7" t="s">
        <v>535</v>
      </c>
      <c r="B25" s="47" t="s">
        <v>503</v>
      </c>
      <c r="C25" s="26" t="n">
        <f aca="false">0</f>
        <v>0</v>
      </c>
      <c r="D25" s="9" t="s">
        <v>536</v>
      </c>
      <c r="E25" s="43" t="n">
        <v>1</v>
      </c>
      <c r="F25" s="26" t="n">
        <f aca="false">IFERROR(C25/E25,0)</f>
        <v>0</v>
      </c>
      <c r="G25" s="10" t="s">
        <v>537</v>
      </c>
    </row>
    <row r="26" customFormat="false" ht="15" hidden="false" customHeight="false" outlineLevel="0" collapsed="false">
      <c r="A26" s="23" t="s">
        <v>538</v>
      </c>
      <c r="B26" s="2"/>
      <c r="C26" s="2"/>
      <c r="D26" s="2"/>
      <c r="E26" s="2"/>
      <c r="F26" s="27" t="n">
        <f aca="false">SUM(F5:F25)</f>
        <v>3221.81191</v>
      </c>
      <c r="G26" s="2"/>
    </row>
    <row r="27" customFormat="false" ht="15" hidden="false" customHeight="false" outlineLevel="0" collapsed="false">
      <c r="A27" s="9" t="s">
        <v>539</v>
      </c>
      <c r="B27" s="2"/>
      <c r="C27" s="2"/>
      <c r="D27" s="2"/>
      <c r="E27" s="2"/>
      <c r="F27" s="26" t="n">
        <f aca="false">SUMIF(B5:B25,"D",F5:F25)</f>
        <v>363.69962</v>
      </c>
      <c r="G27" s="2"/>
    </row>
    <row r="28" customFormat="false" ht="15" hidden="false" customHeight="false" outlineLevel="0" collapsed="false">
      <c r="A28" s="9" t="s">
        <v>540</v>
      </c>
      <c r="B28" s="2"/>
      <c r="C28" s="2"/>
      <c r="D28" s="2"/>
      <c r="E28" s="2"/>
      <c r="F28" s="26" t="n">
        <f aca="false">SUMIF(B5:B25,"F",F5:F25)</f>
        <v>1928.7</v>
      </c>
      <c r="G28" s="2"/>
    </row>
    <row r="29" customFormat="false" ht="15" hidden="false" customHeight="false" outlineLevel="0" collapsed="false">
      <c r="A29" s="9" t="s">
        <v>541</v>
      </c>
      <c r="B29" s="2"/>
      <c r="C29" s="2"/>
      <c r="D29" s="2"/>
      <c r="E29" s="2"/>
      <c r="F29" s="26" t="n">
        <f aca="false">SUMIF(B5:B25,"S",F5:F25)</f>
        <v>929.41229</v>
      </c>
      <c r="G29" s="2"/>
    </row>
    <row r="30" customFormat="false" ht="15" hidden="false" customHeight="false" outlineLevel="0" collapsed="false">
      <c r="A30" s="3" t="s">
        <v>542</v>
      </c>
      <c r="B30" s="2"/>
      <c r="C30" s="2"/>
      <c r="D30" s="2"/>
      <c r="E30" s="2"/>
      <c r="F30" s="2"/>
      <c r="G3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5" min="2" style="0" width="16"/>
    <col collapsed="false" customWidth="true" hidden="false" outlineLevel="0" max="6" min="6" style="0" width="40"/>
  </cols>
  <sheetData>
    <row r="1" customFormat="false" ht="16.15" hidden="false" customHeight="false" outlineLevel="0" collapsed="false">
      <c r="A1" s="1" t="s">
        <v>543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5" t="s">
        <v>544</v>
      </c>
      <c r="B4" s="6"/>
      <c r="C4" s="6"/>
      <c r="D4" s="6"/>
      <c r="E4" s="6"/>
      <c r="F4" s="6"/>
    </row>
    <row r="5" customFormat="false" ht="15" hidden="false" customHeight="false" outlineLevel="0" collapsed="false">
      <c r="A5" s="7" t="s">
        <v>545</v>
      </c>
      <c r="B5" s="48" t="n">
        <v>45000</v>
      </c>
      <c r="C5" s="2"/>
      <c r="D5" s="2"/>
      <c r="E5" s="2"/>
      <c r="F5" s="2"/>
    </row>
    <row r="6" customFormat="false" ht="15" hidden="false" customHeight="false" outlineLevel="0" collapsed="false">
      <c r="A6" s="7" t="s">
        <v>546</v>
      </c>
      <c r="B6" s="17" t="n">
        <v>0.075</v>
      </c>
      <c r="C6" s="2"/>
      <c r="D6" s="2"/>
      <c r="E6" s="2"/>
      <c r="F6" s="2"/>
    </row>
    <row r="7" customFormat="false" ht="15" hidden="false" customHeight="false" outlineLevel="0" collapsed="false">
      <c r="A7" s="7" t="s">
        <v>547</v>
      </c>
      <c r="B7" s="49" t="n">
        <v>4</v>
      </c>
      <c r="C7" s="2"/>
      <c r="D7" s="2"/>
      <c r="E7" s="2"/>
      <c r="F7" s="2"/>
    </row>
    <row r="8" customFormat="false" ht="15" hidden="false" customHeight="false" outlineLevel="0" collapsed="false">
      <c r="A8" s="7" t="s">
        <v>548</v>
      </c>
      <c r="B8" s="50" t="n">
        <v>5.5</v>
      </c>
      <c r="C8" s="2"/>
      <c r="D8" s="2"/>
      <c r="E8" s="2"/>
      <c r="F8" s="2"/>
    </row>
    <row r="9" customFormat="false" ht="15" hidden="false" customHeight="false" outlineLevel="0" collapsed="false">
      <c r="A9" s="32" t="s">
        <v>549</v>
      </c>
      <c r="B9" s="27" t="n">
        <f aca="false">B5*(1+B6/B7)^(B7*B8)</f>
        <v>67717.3870816568</v>
      </c>
      <c r="C9" s="2"/>
      <c r="D9" s="2"/>
      <c r="E9" s="2"/>
      <c r="F9" s="10" t="s">
        <v>550</v>
      </c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</row>
    <row r="11" customFormat="false" ht="15" hidden="false" customHeight="false" outlineLevel="0" collapsed="false">
      <c r="A11" s="5" t="s">
        <v>551</v>
      </c>
      <c r="B11" s="6"/>
      <c r="C11" s="6"/>
      <c r="D11" s="6"/>
      <c r="E11" s="6"/>
      <c r="F11" s="6"/>
    </row>
    <row r="12" customFormat="false" ht="15" hidden="false" customHeight="false" outlineLevel="0" collapsed="false">
      <c r="A12" s="7" t="s">
        <v>552</v>
      </c>
      <c r="B12" s="48" t="n">
        <v>125000</v>
      </c>
      <c r="C12" s="2"/>
      <c r="D12" s="2"/>
      <c r="E12" s="2"/>
      <c r="F12" s="2"/>
    </row>
    <row r="13" customFormat="false" ht="15" hidden="false" customHeight="false" outlineLevel="0" collapsed="false">
      <c r="A13" s="7" t="s">
        <v>546</v>
      </c>
      <c r="B13" s="17" t="n">
        <v>0.12</v>
      </c>
      <c r="C13" s="2"/>
      <c r="D13" s="2"/>
      <c r="E13" s="2"/>
      <c r="F13" s="2"/>
    </row>
    <row r="14" customFormat="false" ht="15" hidden="false" customHeight="false" outlineLevel="0" collapsed="false">
      <c r="A14" s="7" t="s">
        <v>553</v>
      </c>
      <c r="B14" s="49" t="n">
        <v>48</v>
      </c>
      <c r="C14" s="2"/>
      <c r="D14" s="2"/>
      <c r="E14" s="2"/>
      <c r="F14" s="2"/>
    </row>
    <row r="15" customFormat="false" ht="15" hidden="false" customHeight="false" outlineLevel="0" collapsed="false">
      <c r="A15" s="32" t="s">
        <v>554</v>
      </c>
      <c r="B15" s="27" t="n">
        <f aca="false">B12/(1+B13/12)^B14</f>
        <v>77532.5506331497</v>
      </c>
      <c r="C15" s="2"/>
      <c r="D15" s="2"/>
      <c r="E15" s="2"/>
      <c r="F15" s="10" t="s">
        <v>555</v>
      </c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</row>
    <row r="17" customFormat="false" ht="15" hidden="false" customHeight="false" outlineLevel="0" collapsed="false">
      <c r="A17" s="5" t="s">
        <v>556</v>
      </c>
      <c r="B17" s="6"/>
      <c r="C17" s="6"/>
      <c r="D17" s="6"/>
      <c r="E17" s="6"/>
      <c r="F17" s="6"/>
    </row>
    <row r="18" customFormat="false" ht="15" hidden="false" customHeight="false" outlineLevel="0" collapsed="false">
      <c r="A18" s="7" t="s">
        <v>557</v>
      </c>
      <c r="B18" s="17" t="n">
        <v>0.09</v>
      </c>
      <c r="C18" s="2"/>
      <c r="D18" s="2"/>
      <c r="E18" s="2"/>
      <c r="F18" s="2"/>
    </row>
    <row r="19" customFormat="false" ht="15" hidden="false" customHeight="false" outlineLevel="0" collapsed="false">
      <c r="A19" s="7" t="s">
        <v>558</v>
      </c>
      <c r="B19" s="26" t="n">
        <f aca="false">10000/(1+B18)^1</f>
        <v>9174.3119266055</v>
      </c>
      <c r="C19" s="2"/>
      <c r="D19" s="2"/>
      <c r="E19" s="2"/>
      <c r="F19" s="2"/>
    </row>
    <row r="20" customFormat="false" ht="15" hidden="false" customHeight="false" outlineLevel="0" collapsed="false">
      <c r="A20" s="7" t="s">
        <v>559</v>
      </c>
      <c r="B20" s="26" t="n">
        <f aca="false">15000/(1+B18)^3</f>
        <v>11582.752200916</v>
      </c>
      <c r="C20" s="2"/>
      <c r="D20" s="2"/>
      <c r="E20" s="2"/>
      <c r="F20" s="2"/>
    </row>
    <row r="21" customFormat="false" ht="15" hidden="false" customHeight="false" outlineLevel="0" collapsed="false">
      <c r="A21" s="7" t="s">
        <v>560</v>
      </c>
      <c r="B21" s="26" t="n">
        <f aca="false">8000/(1+B18)^5</f>
        <v>5199.45109038676</v>
      </c>
      <c r="C21" s="2"/>
      <c r="D21" s="2"/>
      <c r="E21" s="2"/>
      <c r="F21" s="2"/>
    </row>
    <row r="22" customFormat="false" ht="15" hidden="false" customHeight="false" outlineLevel="0" collapsed="false">
      <c r="A22" s="32" t="s">
        <v>561</v>
      </c>
      <c r="B22" s="27" t="n">
        <f aca="false">SUM(B19:B21)</f>
        <v>25956.5152179082</v>
      </c>
      <c r="C22" s="2"/>
      <c r="D22" s="2"/>
      <c r="E22" s="2"/>
      <c r="F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</row>
    <row r="24" customFormat="false" ht="15" hidden="false" customHeight="false" outlineLevel="0" collapsed="false">
      <c r="A24" s="5" t="s">
        <v>562</v>
      </c>
      <c r="B24" s="6"/>
      <c r="C24" s="6"/>
      <c r="D24" s="6"/>
      <c r="E24" s="6"/>
      <c r="F24" s="6"/>
    </row>
    <row r="25" customFormat="false" ht="15" hidden="false" customHeight="false" outlineLevel="0" collapsed="false">
      <c r="A25" s="7" t="s">
        <v>563</v>
      </c>
      <c r="B25" s="48" t="n">
        <v>250000</v>
      </c>
      <c r="C25" s="2"/>
      <c r="D25" s="2"/>
      <c r="E25" s="2"/>
      <c r="F25" s="2"/>
    </row>
    <row r="26" customFormat="false" ht="15" hidden="false" customHeight="false" outlineLevel="0" collapsed="false">
      <c r="A26" s="7" t="s">
        <v>564</v>
      </c>
      <c r="B26" s="48" t="n">
        <v>60000</v>
      </c>
      <c r="C26" s="2"/>
      <c r="D26" s="2"/>
      <c r="E26" s="2"/>
      <c r="F26" s="2"/>
    </row>
    <row r="27" customFormat="false" ht="15" hidden="false" customHeight="false" outlineLevel="0" collapsed="false">
      <c r="A27" s="7" t="s">
        <v>557</v>
      </c>
      <c r="B27" s="17" t="n">
        <v>0.11</v>
      </c>
      <c r="C27" s="2"/>
      <c r="D27" s="2"/>
      <c r="E27" s="2"/>
      <c r="F27" s="2"/>
    </row>
    <row r="28" customFormat="false" ht="15" hidden="false" customHeight="false" outlineLevel="0" collapsed="false">
      <c r="A28" s="7" t="s">
        <v>548</v>
      </c>
      <c r="B28" s="49" t="n">
        <v>6</v>
      </c>
      <c r="C28" s="2"/>
      <c r="D28" s="2"/>
      <c r="E28" s="2"/>
      <c r="F28" s="2"/>
    </row>
    <row r="29" customFormat="false" ht="15" hidden="false" customHeight="false" outlineLevel="0" collapsed="false">
      <c r="A29" s="7" t="s">
        <v>565</v>
      </c>
      <c r="B29" s="30" t="n">
        <f aca="false">(1-(1+B27)^-B28)/B27</f>
        <v>4.23053785373826</v>
      </c>
      <c r="C29" s="2"/>
      <c r="D29" s="2"/>
      <c r="E29" s="2"/>
      <c r="F29" s="2"/>
    </row>
    <row r="30" customFormat="false" ht="15" hidden="false" customHeight="false" outlineLevel="0" collapsed="false">
      <c r="A30" s="32" t="s">
        <v>566</v>
      </c>
      <c r="B30" s="27" t="n">
        <f aca="false">-B25+B26*B29</f>
        <v>3832.27122429558</v>
      </c>
      <c r="C30" s="2"/>
      <c r="D30" s="2"/>
      <c r="E30" s="2"/>
      <c r="F30" s="10" t="s">
        <v>567</v>
      </c>
    </row>
    <row r="31" customFormat="false" ht="15" hidden="false" customHeight="false" outlineLevel="0" collapsed="false">
      <c r="A31" s="7" t="s">
        <v>568</v>
      </c>
      <c r="B31" s="26" t="n">
        <f aca="false">-B25+NPV(B27,B26,B26,B26,B26,B26,B26)</f>
        <v>3832.27122429534</v>
      </c>
      <c r="C31" s="2"/>
      <c r="D31" s="2"/>
      <c r="E31" s="2"/>
      <c r="F31" s="2"/>
    </row>
    <row r="32" customFormat="false" ht="15" hidden="false" customHeight="false" outlineLevel="0" collapsed="false">
      <c r="A32" s="7" t="s">
        <v>569</v>
      </c>
      <c r="B32" s="21" t="n">
        <f aca="false">IRR({-250000,60000,60000,60000,60000,60000,60000})</f>
        <v>0.115304732164743</v>
      </c>
      <c r="C32" s="2"/>
      <c r="D32" s="2"/>
      <c r="E32" s="2"/>
      <c r="F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</row>
    <row r="34" customFormat="false" ht="15" hidden="false" customHeight="false" outlineLevel="0" collapsed="false">
      <c r="A34" s="5" t="s">
        <v>570</v>
      </c>
      <c r="B34" s="6"/>
      <c r="C34" s="6"/>
      <c r="D34" s="6"/>
      <c r="E34" s="6"/>
      <c r="F34" s="6"/>
    </row>
    <row r="35" customFormat="false" ht="15" hidden="false" customHeight="false" outlineLevel="0" collapsed="false">
      <c r="A35" s="7" t="s">
        <v>557</v>
      </c>
      <c r="B35" s="17" t="n">
        <v>0.04</v>
      </c>
      <c r="C35" s="2"/>
      <c r="D35" s="2"/>
      <c r="E35" s="2"/>
      <c r="F35" s="2"/>
    </row>
    <row r="36" customFormat="false" ht="15" hidden="false" customHeight="false" outlineLevel="0" collapsed="false">
      <c r="A36" s="7" t="s">
        <v>571</v>
      </c>
      <c r="B36" s="26" t="n">
        <f aca="false">7500/(1+B35)^1</f>
        <v>7211.53846153846</v>
      </c>
      <c r="C36" s="2"/>
      <c r="D36" s="2"/>
      <c r="E36" s="2"/>
      <c r="F36" s="2"/>
    </row>
    <row r="37" customFormat="false" ht="15" hidden="false" customHeight="false" outlineLevel="0" collapsed="false">
      <c r="A37" s="7" t="s">
        <v>572</v>
      </c>
      <c r="B37" s="26" t="n">
        <f aca="false">12000/(1+B35)^2</f>
        <v>11094.674556213</v>
      </c>
      <c r="C37" s="2"/>
      <c r="D37" s="2"/>
      <c r="E37" s="2"/>
      <c r="F37" s="2"/>
    </row>
    <row r="38" customFormat="false" ht="15" hidden="false" customHeight="false" outlineLevel="0" collapsed="false">
      <c r="A38" s="7" t="s">
        <v>573</v>
      </c>
      <c r="B38" s="26" t="n">
        <f aca="false">20000/(1+B35)^3</f>
        <v>17779.9271734183</v>
      </c>
      <c r="C38" s="2"/>
      <c r="D38" s="2"/>
      <c r="E38" s="2"/>
      <c r="F38" s="2"/>
    </row>
    <row r="39" customFormat="false" ht="15" hidden="false" customHeight="false" outlineLevel="0" collapsed="false">
      <c r="A39" s="7" t="s">
        <v>574</v>
      </c>
      <c r="B39" s="26" t="n">
        <f aca="false">25000/(1+B35)^4</f>
        <v>21370.1047757431</v>
      </c>
      <c r="C39" s="2"/>
      <c r="D39" s="2"/>
      <c r="E39" s="2"/>
      <c r="F39" s="2"/>
    </row>
    <row r="40" customFormat="false" ht="15" hidden="false" customHeight="false" outlineLevel="0" collapsed="false">
      <c r="A40" s="32" t="s">
        <v>566</v>
      </c>
      <c r="B40" s="27" t="n">
        <f aca="false">-50000+SUM(B36:B39)</f>
        <v>7456.24496691291</v>
      </c>
      <c r="C40" s="2"/>
      <c r="D40" s="2"/>
      <c r="E40" s="2"/>
      <c r="F40" s="10" t="s">
        <v>575</v>
      </c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</row>
    <row r="42" customFormat="false" ht="15" hidden="false" customHeight="false" outlineLevel="0" collapsed="false">
      <c r="A42" s="5" t="s">
        <v>576</v>
      </c>
      <c r="B42" s="6"/>
      <c r="C42" s="6"/>
      <c r="D42" s="6"/>
      <c r="E42" s="6"/>
      <c r="F42" s="6"/>
    </row>
    <row r="43" customFormat="false" ht="15" hidden="false" customHeight="false" outlineLevel="0" collapsed="false">
      <c r="A43" s="7" t="s">
        <v>557</v>
      </c>
      <c r="B43" s="17" t="n">
        <v>0.1</v>
      </c>
      <c r="C43" s="2"/>
      <c r="D43" s="2"/>
      <c r="E43" s="2"/>
      <c r="F43" s="2"/>
    </row>
    <row r="44" customFormat="false" ht="15" hidden="false" customHeight="false" outlineLevel="0" collapsed="false">
      <c r="A44" s="7" t="s">
        <v>577</v>
      </c>
      <c r="B44" s="26" t="n">
        <f aca="false">300000/(1+B43)^1</f>
        <v>272727.272727273</v>
      </c>
      <c r="C44" s="2"/>
      <c r="D44" s="2"/>
      <c r="E44" s="2"/>
      <c r="F44" s="2"/>
    </row>
    <row r="45" customFormat="false" ht="15" hidden="false" customHeight="false" outlineLevel="0" collapsed="false">
      <c r="A45" s="7" t="s">
        <v>578</v>
      </c>
      <c r="B45" s="26" t="n">
        <f aca="false">350000/(1+B43)^2</f>
        <v>289256.198347107</v>
      </c>
      <c r="C45" s="2"/>
      <c r="D45" s="2"/>
      <c r="E45" s="2"/>
      <c r="F45" s="2"/>
    </row>
    <row r="46" customFormat="false" ht="15" hidden="false" customHeight="false" outlineLevel="0" collapsed="false">
      <c r="A46" s="7" t="s">
        <v>579</v>
      </c>
      <c r="B46" s="26" t="n">
        <f aca="false">375000/(1+B43)^3</f>
        <v>281743.050338092</v>
      </c>
      <c r="C46" s="2"/>
      <c r="D46" s="2"/>
      <c r="E46" s="2"/>
      <c r="F46" s="2"/>
    </row>
    <row r="47" customFormat="false" ht="15" hidden="false" customHeight="false" outlineLevel="0" collapsed="false">
      <c r="A47" s="7" t="s">
        <v>580</v>
      </c>
      <c r="B47" s="26" t="n">
        <f aca="false">450000/(1+B43)^4</f>
        <v>307356.054914282</v>
      </c>
      <c r="C47" s="2"/>
      <c r="D47" s="2"/>
      <c r="E47" s="2"/>
      <c r="F47" s="2"/>
    </row>
    <row r="48" customFormat="false" ht="15" hidden="false" customHeight="false" outlineLevel="0" collapsed="false">
      <c r="A48" s="32" t="s">
        <v>566</v>
      </c>
      <c r="B48" s="27" t="n">
        <f aca="false">-1000000+SUM(B44:B47)</f>
        <v>151082.576326753</v>
      </c>
      <c r="C48" s="2"/>
      <c r="D48" s="2"/>
      <c r="E48" s="2"/>
      <c r="F48" s="2"/>
    </row>
    <row r="49" customFormat="false" ht="15" hidden="false" customHeight="false" outlineLevel="0" collapsed="false">
      <c r="A49" s="7" t="s">
        <v>581</v>
      </c>
      <c r="B49" s="26" t="n">
        <f aca="false">B48-150000/(1+B43)^4</f>
        <v>48630.5580219929</v>
      </c>
      <c r="C49" s="2"/>
      <c r="D49" s="2"/>
      <c r="E49" s="2"/>
      <c r="F49" s="10" t="s">
        <v>582</v>
      </c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</row>
    <row r="51" customFormat="false" ht="15" hidden="false" customHeight="false" outlineLevel="0" collapsed="false">
      <c r="A51" s="5" t="s">
        <v>583</v>
      </c>
      <c r="B51" s="6"/>
      <c r="C51" s="6"/>
      <c r="D51" s="6"/>
      <c r="E51" s="6"/>
      <c r="F51" s="6"/>
    </row>
    <row r="52" customFormat="false" ht="15" hidden="false" customHeight="false" outlineLevel="0" collapsed="false">
      <c r="A52" s="7" t="s">
        <v>557</v>
      </c>
      <c r="B52" s="17" t="n">
        <v>0.08</v>
      </c>
      <c r="C52" s="2"/>
      <c r="D52" s="2"/>
      <c r="E52" s="2"/>
      <c r="F52" s="2"/>
    </row>
    <row r="53" customFormat="false" ht="15" hidden="false" customHeight="false" outlineLevel="0" collapsed="false">
      <c r="A53" s="32" t="s">
        <v>584</v>
      </c>
      <c r="B53" s="27" t="n">
        <f aca="false">-50000+NPV(B52,25000,25000,25000)</f>
        <v>14427.424681197</v>
      </c>
      <c r="C53" s="2"/>
      <c r="D53" s="2"/>
      <c r="E53" s="2"/>
      <c r="F53" s="2"/>
    </row>
    <row r="54" customFormat="false" ht="15" hidden="false" customHeight="false" outlineLevel="0" collapsed="false">
      <c r="A54" s="32" t="s">
        <v>585</v>
      </c>
      <c r="B54" s="27" t="n">
        <f aca="false">-50000+NPV(B52,10000,20000,45000)</f>
        <v>12128.4865112026</v>
      </c>
      <c r="C54" s="2"/>
      <c r="D54" s="2"/>
      <c r="E54" s="2"/>
      <c r="F54" s="2"/>
    </row>
    <row r="55" customFormat="false" ht="15" hidden="false" customHeight="false" outlineLevel="0" collapsed="false">
      <c r="A55" s="7" t="s">
        <v>586</v>
      </c>
      <c r="B55" s="21" t="n">
        <f aca="false">IRR({-50000,25000,25000,25000})</f>
        <v>0.233751928528259</v>
      </c>
      <c r="C55" s="2"/>
      <c r="D55" s="2"/>
      <c r="E55" s="2"/>
      <c r="F55" s="2"/>
    </row>
    <row r="56" customFormat="false" ht="15" hidden="false" customHeight="false" outlineLevel="0" collapsed="false">
      <c r="A56" s="7" t="s">
        <v>587</v>
      </c>
      <c r="B56" s="21" t="n">
        <f aca="false">IRR({-50000,10000,20000,45000})</f>
        <v>0.182248307308676</v>
      </c>
      <c r="C56" s="2"/>
      <c r="D56" s="2"/>
      <c r="E56" s="2"/>
      <c r="F56" s="2"/>
    </row>
    <row r="57" customFormat="false" ht="22.35" hidden="false" customHeight="false" outlineLevel="0" collapsed="false">
      <c r="A57" s="7" t="s">
        <v>588</v>
      </c>
      <c r="B57" s="21" t="n">
        <f aca="false">IRR({0,-15000,-5000,20000})</f>
        <v>1.1976532039919E-017</v>
      </c>
      <c r="C57" s="2"/>
      <c r="D57" s="2"/>
      <c r="E57" s="2"/>
      <c r="F57" s="10" t="s">
        <v>589</v>
      </c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</row>
    <row r="59" customFormat="false" ht="15" hidden="false" customHeight="false" outlineLevel="0" collapsed="false">
      <c r="A59" s="5" t="s">
        <v>590</v>
      </c>
      <c r="B59" s="6"/>
      <c r="C59" s="6"/>
      <c r="D59" s="6"/>
      <c r="E59" s="6"/>
      <c r="F59" s="6"/>
    </row>
    <row r="60" customFormat="false" ht="15" hidden="false" customHeight="false" outlineLevel="0" collapsed="false">
      <c r="A60" s="23" t="s">
        <v>557</v>
      </c>
      <c r="B60" s="23" t="s">
        <v>591</v>
      </c>
      <c r="C60" s="23" t="s">
        <v>592</v>
      </c>
      <c r="D60" s="2"/>
      <c r="E60" s="2"/>
      <c r="F60" s="2"/>
    </row>
    <row r="61" customFormat="false" ht="15" hidden="false" customHeight="false" outlineLevel="0" collapsed="false">
      <c r="A61" s="44" t="n">
        <v>0.08</v>
      </c>
      <c r="B61" s="26" t="n">
        <f aca="false">-50000+NPV(A61,25000,25000,25000)</f>
        <v>14427.424681197</v>
      </c>
      <c r="C61" s="9" t="str">
        <f aca="false">IF(B61&gt;0,"Aceptar",IF(B61=0,"Indiferente","Rechazar"))</f>
        <v>Aceptar</v>
      </c>
      <c r="D61" s="2"/>
      <c r="E61" s="2"/>
      <c r="F61" s="2"/>
    </row>
    <row r="62" customFormat="false" ht="15" hidden="false" customHeight="false" outlineLevel="0" collapsed="false">
      <c r="A62" s="44" t="n">
        <v>0.15</v>
      </c>
      <c r="B62" s="26" t="n">
        <f aca="false">-50000+NPV(A62,25000,25000,25000)</f>
        <v>7080.62792800198</v>
      </c>
      <c r="C62" s="9" t="str">
        <f aca="false">IF(B62&gt;0,"Aceptar",IF(B62=0,"Indiferente","Rechazar"))</f>
        <v>Aceptar</v>
      </c>
      <c r="D62" s="2"/>
      <c r="E62" s="2"/>
      <c r="F62" s="2"/>
    </row>
    <row r="63" customFormat="false" ht="15" hidden="false" customHeight="false" outlineLevel="0" collapsed="false">
      <c r="A63" s="44" t="n">
        <v>0.2</v>
      </c>
      <c r="B63" s="26" t="n">
        <f aca="false">-50000+NPV(A63,25000,25000,25000)</f>
        <v>2662.03703703704</v>
      </c>
      <c r="C63" s="9" t="str">
        <f aca="false">IF(B63&gt;0,"Aceptar",IF(B63=0,"Indiferente","Rechazar"))</f>
        <v>Aceptar</v>
      </c>
      <c r="D63" s="2"/>
      <c r="E63" s="2"/>
      <c r="F63" s="2"/>
    </row>
    <row r="64" customFormat="false" ht="15" hidden="false" customHeight="false" outlineLevel="0" collapsed="false">
      <c r="A64" s="44" t="n">
        <v>0.25</v>
      </c>
      <c r="B64" s="26" t="n">
        <f aca="false">-50000+NPV(A64,25000,25000,25000)</f>
        <v>-1200</v>
      </c>
      <c r="C64" s="9" t="str">
        <f aca="false">IF(B64&gt;0,"Aceptar",IF(B64=0,"Indiferente","Rechazar"))</f>
        <v>Rechazar</v>
      </c>
      <c r="D64" s="2"/>
      <c r="E64" s="2"/>
      <c r="F64" s="2"/>
    </row>
    <row r="65" customFormat="false" ht="15" hidden="false" customHeight="false" outlineLevel="0" collapsed="false">
      <c r="A65" s="7" t="s">
        <v>593</v>
      </c>
      <c r="B65" s="21" t="n">
        <f aca="false">IRR({-50000,25000,25000,25000})</f>
        <v>0.233751928528259</v>
      </c>
      <c r="C65" s="2"/>
      <c r="D65" s="2"/>
      <c r="E65" s="2"/>
      <c r="F65" s="2"/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</row>
    <row r="67" customFormat="false" ht="15" hidden="false" customHeight="false" outlineLevel="0" collapsed="false">
      <c r="A67" s="5" t="s">
        <v>594</v>
      </c>
      <c r="B67" s="6"/>
      <c r="C67" s="6"/>
      <c r="D67" s="6"/>
      <c r="E67" s="6"/>
      <c r="F67" s="6"/>
    </row>
    <row r="68" customFormat="false" ht="15" hidden="false" customHeight="false" outlineLevel="0" collapsed="false">
      <c r="A68" s="7" t="s">
        <v>595</v>
      </c>
      <c r="B68" s="26" t="n">
        <f aca="false">-500000+NPV(0.14,180000,200000,190000,170000)</f>
        <v>40686.4777674802</v>
      </c>
      <c r="C68" s="2"/>
      <c r="D68" s="2"/>
      <c r="E68" s="2"/>
      <c r="F68" s="2"/>
    </row>
    <row r="69" customFormat="false" ht="15" hidden="false" customHeight="false" outlineLevel="0" collapsed="false">
      <c r="A69" s="7" t="s">
        <v>596</v>
      </c>
      <c r="B69" s="26" t="n">
        <f aca="false">-500000+NPV(0.22,180000,200000,190000,170000)</f>
        <v>-36714.3823188494</v>
      </c>
      <c r="C69" s="2"/>
      <c r="D69" s="2"/>
      <c r="E69" s="2"/>
      <c r="F69" s="2"/>
    </row>
    <row r="70" customFormat="false" ht="15" hidden="false" customHeight="false" outlineLevel="0" collapsed="false">
      <c r="A70" s="32" t="s">
        <v>597</v>
      </c>
      <c r="B70" s="42" t="n">
        <f aca="false">0.14+(0.22-0.14)*B68/(B68-B69)</f>
        <v>0.182052739695244</v>
      </c>
      <c r="C70" s="2"/>
      <c r="D70" s="2"/>
      <c r="E70" s="2"/>
      <c r="F70" s="2"/>
    </row>
    <row r="71" customFormat="false" ht="15" hidden="false" customHeight="false" outlineLevel="0" collapsed="false">
      <c r="A71" s="7" t="s">
        <v>598</v>
      </c>
      <c r="B71" s="21" t="n">
        <f aca="false">IRR({-500000,180000,200000,190000,170000})</f>
        <v>0.179485086136705</v>
      </c>
      <c r="C71" s="2"/>
      <c r="D71" s="2"/>
      <c r="E71" s="2"/>
      <c r="F71" s="2"/>
    </row>
    <row r="72" customFormat="false" ht="15" hidden="false" customHeight="false" outlineLevel="0" collapsed="false">
      <c r="A72" s="7" t="s">
        <v>599</v>
      </c>
      <c r="B72" s="26" t="n">
        <f aca="false">-500000+NPV(0.17,180000,200000,190000,170000)</f>
        <v>9299.77797329659</v>
      </c>
      <c r="C72" s="2"/>
      <c r="D72" s="2"/>
      <c r="E72" s="2"/>
      <c r="F72" s="2"/>
    </row>
    <row r="73" customFormat="false" ht="15" hidden="false" customHeight="false" outlineLevel="0" collapsed="false">
      <c r="A73" s="7" t="s">
        <v>600</v>
      </c>
      <c r="B73" s="26" t="n">
        <f aca="false">-500000+NPV(0.18,180000,200000,190000,170000)</f>
        <v>-496.766581436328</v>
      </c>
      <c r="C73" s="2"/>
      <c r="D73" s="2"/>
      <c r="E73" s="2"/>
      <c r="F73" s="2"/>
    </row>
    <row r="74" customFormat="false" ht="15" hidden="false" customHeight="false" outlineLevel="0" collapsed="false">
      <c r="A74" s="7" t="s">
        <v>601</v>
      </c>
      <c r="B74" s="21" t="n">
        <f aca="false">0.17+(0.18-0.17)*B72/(B72-B73)</f>
        <v>0.17949291652923</v>
      </c>
      <c r="C74" s="2"/>
      <c r="D74" s="2"/>
      <c r="E74" s="2"/>
      <c r="F7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2026-10-23T00:01:37Z</dcterms:created>
  <dc:creator>openpyxl</dc:creator>
  <dc:description/>
  <dc:language>en-US</dc:language>
  <cp:lastModifiedBy/>
  <dcterms:modified xsi:type="dcterms:W3CDTF">2026-10-23T00:01:37Z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